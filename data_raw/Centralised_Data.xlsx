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5320" yWindow="285" windowWidth="25440" windowHeight="159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sz val="8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color theme="1"/>
      <sz val="5"/>
      <scheme val="minor"/>
    </font>
    <font>
      <name val="Calibri"/>
      <family val="2"/>
      <color rgb="FFFF0000"/>
      <sz val="8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8"/>
    </font>
  </fonts>
  <fills count="5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2" fillId="0" borderId="1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8" fillId="3" borderId="0" applyAlignment="1" pivotButton="0" quotePrefix="0" xfId="0">
      <alignment wrapText="1"/>
    </xf>
    <xf numFmtId="0" fontId="4" fillId="3" borderId="0" applyAlignment="1" pivotButton="0" quotePrefix="0" xfId="0">
      <alignment wrapText="1"/>
    </xf>
    <xf numFmtId="0" fontId="7" fillId="3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7" fillId="3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0" fillId="0" borderId="9" applyAlignment="1" pivotButton="0" quotePrefix="0" xfId="0">
      <alignment horizontal="center" wrapText="1"/>
    </xf>
    <xf numFmtId="0" fontId="0" fillId="0" borderId="10" applyAlignment="1" pivotButton="0" quotePrefix="0" xfId="0">
      <alignment horizontal="center" wrapText="1"/>
    </xf>
    <xf numFmtId="0" fontId="0" fillId="0" borderId="11" applyAlignment="1" pivotButton="0" quotePrefix="0" xfId="0">
      <alignment horizontal="center" wrapText="1"/>
    </xf>
    <xf numFmtId="20" fontId="0" fillId="0" borderId="2" applyAlignment="1" pivotButton="0" quotePrefix="0" xfId="0">
      <alignment horizontal="center" vertical="center" wrapText="1"/>
    </xf>
    <xf numFmtId="20" fontId="0" fillId="0" borderId="3" applyAlignment="1" pivotButton="0" quotePrefix="0" xfId="0">
      <alignment horizontal="center" vertical="center" wrapText="1"/>
    </xf>
    <xf numFmtId="20" fontId="0" fillId="0" borderId="4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2" fontId="0" fillId="0" borderId="3" applyAlignment="1" pivotButton="0" quotePrefix="0" xfId="0">
      <alignment horizontal="center" vertical="center" wrapText="1"/>
    </xf>
    <xf numFmtId="2" fontId="0" fillId="0" borderId="4" applyAlignment="1" pivotButton="0" quotePrefix="0" xfId="0">
      <alignment horizontal="center" vertical="center" wrapText="1"/>
    </xf>
    <xf numFmtId="9" fontId="0" fillId="0" borderId="2" applyAlignment="1" pivotButton="0" quotePrefix="0" xfId="0">
      <alignment horizontal="center" vertical="center" wrapText="1"/>
    </xf>
    <xf numFmtId="9" fontId="0" fillId="0" borderId="3" applyAlignment="1" pivotButton="0" quotePrefix="0" xfId="0">
      <alignment horizontal="center" vertical="center" wrapText="1"/>
    </xf>
    <xf numFmtId="9" fontId="0" fillId="0" borderId="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top" wrapText="1"/>
    </xf>
    <xf numFmtId="0" fontId="0" fillId="2" borderId="3" applyAlignment="1" pivotButton="0" quotePrefix="0" xfId="0">
      <alignment horizontal="center" vertical="top" wrapText="1"/>
    </xf>
    <xf numFmtId="0" fontId="0" fillId="2" borderId="4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6" fillId="0" borderId="4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9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20" fontId="0" fillId="0" borderId="1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0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4"/>
  <sheetViews>
    <sheetView tabSelected="1" workbookViewId="0">
      <selection activeCell="U2" sqref="A2:U159"/>
    </sheetView>
  </sheetViews>
  <sheetFormatPr baseColWidth="8" defaultRowHeight="15"/>
  <cols>
    <col width="3.7109375" customWidth="1" style="3" min="1" max="1"/>
    <col width="18.7109375" customWidth="1" style="3" min="2" max="2"/>
    <col width="8.7109375" customWidth="1" style="3" min="3" max="3"/>
    <col width="6.42578125" bestFit="1" customWidth="1" style="3" min="4" max="4"/>
    <col width="6.85546875" bestFit="1" customWidth="1" style="3" min="5" max="5"/>
    <col width="6.85546875" customWidth="1" style="3" min="6" max="6"/>
    <col width="6.42578125" customWidth="1" style="5" min="7" max="7"/>
    <col width="10.7109375" bestFit="1" customWidth="1" style="3" min="8" max="8"/>
    <col width="9.140625" customWidth="1" style="3" min="9" max="9"/>
    <col width="16.28515625" bestFit="1" customWidth="1" style="3" min="10" max="10"/>
    <col width="9.140625" customWidth="1" style="3" min="11" max="12"/>
    <col width="11.140625" customWidth="1" style="3" min="13" max="13"/>
    <col width="9.140625" customWidth="1" style="3" min="14" max="20"/>
    <col width="12.42578125" customWidth="1" style="3" min="21" max="21"/>
    <col width="9.140625" customWidth="1" style="3" min="22" max="24"/>
    <col width="18.85546875" customWidth="1" style="3" min="25" max="25"/>
    <col width="9.140625" customWidth="1" style="3" min="26" max="26"/>
    <col width="11.5703125" bestFit="1" customWidth="1" style="3" min="27" max="28"/>
    <col width="9.140625" customWidth="1" style="3" min="29" max="16384"/>
  </cols>
  <sheetData>
    <row r="1" ht="80.25" customHeight="1" thickBot="1">
      <c r="D1" s="10" t="inlineStr">
        <is>
          <t>selected 120-400Hz for phonostetoscope</t>
        </is>
      </c>
      <c r="E1" s="8" t="inlineStr">
        <is>
          <t>Puls: ±5% din valoarea afisataPrecizie Tensiune: ±3 mmHg</t>
        </is>
      </c>
      <c r="F1" s="12" t="inlineStr">
        <is>
          <t>all records 30s except first 3 of them -  10 sec</t>
        </is>
      </c>
      <c r="H1" s="2" t="inlineStr">
        <is>
          <t>1,013.25 hPa=1 atm = 760mmhg</t>
        </is>
      </c>
      <c r="I1" s="3" t="inlineStr">
        <is>
          <t>1.33322387415 hPa=1 mmcHg</t>
        </is>
      </c>
    </row>
    <row r="2" ht="105.75" customHeight="1" thickBot="1">
      <c r="B2" s="3" t="inlineStr">
        <is>
          <t>Date/ sleep score during the night/number of steps (walking) during the entire day.</t>
        </is>
      </c>
      <c r="C2" s="3" t="inlineStr">
        <is>
          <t>The hour of deetermination</t>
        </is>
      </c>
      <c r="D2" s="10" t="inlineStr">
        <is>
          <t>Thinklab stetoscope</t>
        </is>
      </c>
      <c r="E2" s="8" t="inlineStr">
        <is>
          <t>Omron BP monitor</t>
        </is>
      </c>
      <c r="F2" s="12" t="inlineStr">
        <is>
          <t>Contec portable ECG</t>
        </is>
      </c>
      <c r="G2" s="3" t="inlineStr">
        <is>
          <t>Professional Meteo station</t>
        </is>
      </c>
      <c r="H2" s="3" t="inlineStr">
        <is>
          <t>Professional Meteo station</t>
        </is>
      </c>
      <c r="I2" s="3" t="inlineStr">
        <is>
          <t>Professional Meteo station</t>
        </is>
      </c>
      <c r="J2" s="3" t="inlineStr">
        <is>
          <t>Infrared precision thermometer</t>
        </is>
      </c>
      <c r="K2" s="25" t="inlineStr">
        <is>
          <t>Contec PPG</t>
        </is>
      </c>
      <c r="L2" s="25" t="inlineStr">
        <is>
          <t>Contec PPG</t>
        </is>
      </c>
      <c r="M2" s="24" t="inlineStr">
        <is>
          <t>Samsung watch</t>
        </is>
      </c>
      <c r="N2" s="24" t="inlineStr">
        <is>
          <t>Samsung watch</t>
        </is>
      </c>
      <c r="P2" s="3" t="inlineStr">
        <is>
          <t>N/A</t>
        </is>
      </c>
      <c r="Q2" s="24" t="inlineStr">
        <is>
          <t>Laser air quality controller</t>
        </is>
      </c>
      <c r="R2" s="24" t="inlineStr">
        <is>
          <t>Laser air quality controller</t>
        </is>
      </c>
      <c r="S2" s="24" t="inlineStr">
        <is>
          <t>Laser air quality controller</t>
        </is>
      </c>
      <c r="T2" s="3" t="inlineStr">
        <is>
          <t>N/A</t>
        </is>
      </c>
      <c r="U2" s="3" t="inlineStr">
        <is>
          <t>N/A</t>
        </is>
      </c>
      <c r="Z2" s="3" t="inlineStr">
        <is>
          <t>almost constant</t>
        </is>
      </c>
    </row>
    <row r="3" ht="165.75" customHeight="1" thickBot="1">
      <c r="C3" s="3" t="inlineStr">
        <is>
          <t>hh:mm</t>
        </is>
      </c>
      <c r="D3" s="11" t="inlineStr">
        <is>
          <t>Thinklab</t>
        </is>
      </c>
      <c r="E3" s="9" t="inlineStr">
        <is>
          <t>Omron sys/dia/bpm</t>
        </is>
      </c>
      <c r="F3" s="3" t="inlineStr">
        <is>
          <t>Contec ECG</t>
        </is>
      </c>
      <c r="G3" s="5" t="inlineStr">
        <is>
          <t>env. Temp celsius</t>
        </is>
      </c>
      <c r="H3" s="2" t="inlineStr">
        <is>
          <t>OtP humidity</t>
        </is>
      </c>
      <c r="I3" s="2" t="inlineStr">
        <is>
          <t>atm. Press. hPa</t>
        </is>
      </c>
      <c r="J3" s="3" t="inlineStr">
        <is>
          <t>body temp C</t>
        </is>
      </c>
      <c r="K3" s="3" t="inlineStr">
        <is>
          <t>PPG (SpO2 value)</t>
        </is>
      </c>
      <c r="L3" s="3" t="inlineStr">
        <is>
          <t>Pulse</t>
        </is>
      </c>
      <c r="M3" s="26" t="inlineStr">
        <is>
          <t>Samsung watch (BP pressure: Systolic BP/Diastolic BP/pulse rate  + SpO2 value + type of cardiac rhythm)</t>
        </is>
      </c>
      <c r="N3" s="26" t="inlineStr">
        <is>
          <t>Samsung watch (stress level)</t>
        </is>
      </c>
      <c r="O3" s="3" t="inlineStr">
        <is>
          <t>BMI</t>
        </is>
      </c>
      <c r="P3" s="3" t="inlineStr">
        <is>
          <t>Relevant activities before measurement</t>
        </is>
      </c>
      <c r="Q3" s="3" t="inlineStr">
        <is>
          <t>Air particles: PM1</t>
        </is>
      </c>
      <c r="R3" s="3" t="inlineStr">
        <is>
          <t>Air particles:PM2.5</t>
        </is>
      </c>
      <c r="S3" s="3" t="inlineStr">
        <is>
          <t>Air particles:PM10</t>
        </is>
      </c>
      <c r="T3" s="3" t="inlineStr">
        <is>
          <t>Wheater</t>
        </is>
      </c>
      <c r="U3" s="3" t="inlineStr">
        <is>
          <t>Day wake-up hour with or without Noliprel and Aspirin Cardio</t>
        </is>
      </c>
      <c r="V3" s="3" t="inlineStr">
        <is>
          <t>sys BP</t>
        </is>
      </c>
      <c r="W3" s="3" t="inlineStr">
        <is>
          <t>dia BP</t>
        </is>
      </c>
      <c r="X3" s="3" t="inlineStr">
        <is>
          <t>HR</t>
        </is>
      </c>
      <c r="Y3" s="3" t="inlineStr">
        <is>
          <t>ΔBP=Pp (pulse pressure)</t>
        </is>
      </c>
      <c r="Z3" s="3" t="inlineStr">
        <is>
          <t>ΔBP * HR</t>
        </is>
      </c>
    </row>
    <row r="4" ht="45" customHeight="1">
      <c r="A4" s="49" t="n">
        <v>1</v>
      </c>
      <c r="B4" s="1" t="inlineStr">
        <is>
          <t>7:39 h sleep / sleep score 71 (REM 24% light 64 deep 5% awake 7%)</t>
        </is>
      </c>
      <c r="C4" s="50" t="n">
        <v>0.8215277777777777</v>
      </c>
      <c r="D4" s="32" t="inlineStr">
        <is>
          <t>sound wav ~2min</t>
        </is>
      </c>
      <c r="E4" s="51" t="inlineStr">
        <is>
          <t>124/83/88</t>
        </is>
      </c>
      <c r="F4" s="40" t="inlineStr">
        <is>
          <t>ekg pdf ~30sec</t>
        </is>
      </c>
      <c r="G4" s="52" t="n">
        <v>23</v>
      </c>
      <c r="H4" s="48" t="n">
        <v>0.76</v>
      </c>
      <c r="I4" s="40" t="n">
        <v>1008</v>
      </c>
      <c r="J4" s="40" t="inlineStr">
        <is>
          <t>36,4</t>
        </is>
      </c>
      <c r="K4" s="48" t="n">
        <v>0.96</v>
      </c>
      <c r="L4" s="40" t="inlineStr">
        <is>
          <t>88bpm</t>
        </is>
      </c>
      <c r="M4" s="47" t="inlineStr">
        <is>
          <t>116/77/88  SpO2 97% synus rhythm</t>
        </is>
      </c>
      <c r="N4" s="40" t="inlineStr">
        <is>
          <t>low stress</t>
        </is>
      </c>
      <c r="O4" s="47" t="n"/>
      <c r="P4" s="49" t="n"/>
      <c r="Q4" s="68" t="n"/>
      <c r="R4" s="68" t="n"/>
      <c r="S4" s="68" t="n"/>
      <c r="T4" s="68" t="n"/>
      <c r="U4" s="13" t="inlineStr">
        <is>
          <t>wake up at 6:55</t>
        </is>
      </c>
      <c r="V4" s="14" t="n">
        <v>124</v>
      </c>
      <c r="W4" s="14" t="n">
        <v>83</v>
      </c>
      <c r="X4" s="15" t="n">
        <v>88</v>
      </c>
      <c r="Y4" s="3">
        <f>V4-W4</f>
        <v/>
      </c>
      <c r="Z4" s="3">
        <f>Y4*X4</f>
        <v/>
      </c>
      <c r="AA4" s="5">
        <f>4416/X4</f>
        <v/>
      </c>
      <c r="AB4" s="5">
        <f>-100+(100*AA4/Y4)</f>
        <v/>
      </c>
    </row>
    <row r="5">
      <c r="A5" s="70" t="n"/>
      <c r="B5" s="4" t="inlineStr">
        <is>
          <t>19 iul 2021</t>
        </is>
      </c>
      <c r="C5" s="70" t="n"/>
      <c r="D5" s="70" t="n"/>
      <c r="E5" s="70" t="n"/>
      <c r="F5" s="70" t="n"/>
      <c r="G5" s="70" t="n"/>
      <c r="H5" s="70" t="n"/>
      <c r="I5" s="70" t="n"/>
      <c r="J5" s="70" t="n"/>
      <c r="K5" s="70" t="n"/>
      <c r="L5" s="70" t="n"/>
      <c r="M5" s="70" t="n"/>
      <c r="N5" s="70" t="n"/>
      <c r="O5" s="70" t="n"/>
      <c r="P5" s="70" t="n"/>
      <c r="Q5" s="70" t="n"/>
      <c r="R5" s="70" t="n"/>
      <c r="S5" s="70" t="n"/>
      <c r="T5" s="70" t="n"/>
      <c r="U5" s="16" t="inlineStr">
        <is>
          <t>after pills</t>
        </is>
      </c>
      <c r="X5" s="17" t="n"/>
      <c r="Y5" s="3">
        <f>V5-W5</f>
        <v/>
      </c>
      <c r="Z5" s="3">
        <f>Y5*X5</f>
        <v/>
      </c>
      <c r="AA5" s="5">
        <f>4416/X5</f>
        <v/>
      </c>
      <c r="AB5" s="5">
        <f>-100+(100*AA5/Y5)</f>
        <v/>
      </c>
    </row>
    <row r="6">
      <c r="A6" s="71" t="n"/>
      <c r="B6" s="1" t="inlineStr">
        <is>
          <t>total 12000 steps</t>
        </is>
      </c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71" t="n"/>
      <c r="Q6" s="71" t="n"/>
      <c r="R6" s="71" t="n"/>
      <c r="S6" s="71" t="n"/>
      <c r="T6" s="71" t="n"/>
      <c r="U6" s="18" t="n"/>
      <c r="V6" s="19" t="n"/>
      <c r="W6" s="19" t="n"/>
      <c r="X6" s="20" t="n"/>
      <c r="Y6" s="3">
        <f>V6-W6</f>
        <v/>
      </c>
      <c r="Z6" s="3">
        <f>Y6*X6</f>
        <v/>
      </c>
      <c r="AA6" s="5">
        <f>4416/X6</f>
        <v/>
      </c>
      <c r="AB6" s="5">
        <f>-100+(100*AA6/Y6)</f>
        <v/>
      </c>
    </row>
    <row r="7" ht="45" customHeight="1">
      <c r="A7" s="49" t="n">
        <v>2</v>
      </c>
      <c r="C7" s="50" t="n">
        <v>0.8916666666666667</v>
      </c>
      <c r="D7" s="40" t="inlineStr">
        <is>
          <t>sound wav ~2min</t>
        </is>
      </c>
      <c r="E7" s="33" t="inlineStr">
        <is>
          <t>127/81/81</t>
        </is>
      </c>
      <c r="F7" s="40" t="inlineStr">
        <is>
          <t>ekg pdf ~30sec</t>
        </is>
      </c>
      <c r="G7" s="52" t="n">
        <v>20</v>
      </c>
      <c r="H7" s="48" t="n">
        <v>0.79</v>
      </c>
      <c r="I7" s="40" t="n">
        <v>1008</v>
      </c>
      <c r="J7" s="72" t="n">
        <v>37.2</v>
      </c>
      <c r="K7" s="48" t="n">
        <v>0.97</v>
      </c>
      <c r="L7" s="40" t="n">
        <v>81</v>
      </c>
      <c r="M7" s="73" t="n"/>
      <c r="N7" s="40" t="inlineStr">
        <is>
          <t>low stress</t>
        </is>
      </c>
      <c r="O7" s="73" t="n"/>
      <c r="P7" s="49" t="inlineStr">
        <is>
          <t>after 1 min smoking</t>
        </is>
      </c>
      <c r="Q7" s="68" t="n"/>
      <c r="R7" s="68" t="n"/>
      <c r="S7" s="68" t="n"/>
      <c r="T7" s="68" t="n"/>
      <c r="U7" s="13" t="n"/>
      <c r="V7" s="14" t="n">
        <v>127</v>
      </c>
      <c r="W7" s="14" t="n">
        <v>81</v>
      </c>
      <c r="X7" s="15" t="n">
        <v>81</v>
      </c>
      <c r="Y7" s="3">
        <f>V7-W7</f>
        <v/>
      </c>
      <c r="Z7" s="3">
        <f>Y7*X7</f>
        <v/>
      </c>
      <c r="AA7" s="5">
        <f>4416/X7</f>
        <v/>
      </c>
      <c r="AB7" s="5">
        <f>-100+(100*AA7/Y7)</f>
        <v/>
      </c>
    </row>
    <row r="8" ht="45" customHeight="1">
      <c r="A8" s="70" t="n"/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  <c r="P8" s="70" t="n"/>
      <c r="Q8" s="70" t="n"/>
      <c r="R8" s="70" t="n"/>
      <c r="S8" s="70" t="n"/>
      <c r="T8" s="70" t="n"/>
      <c r="U8" s="16" t="n"/>
      <c r="X8" s="17" t="n"/>
      <c r="Y8" s="3">
        <f>V8-W8</f>
        <v/>
      </c>
      <c r="Z8" s="3">
        <f>Y8*X8</f>
        <v/>
      </c>
      <c r="AA8" s="5">
        <f>4416/X8</f>
        <v/>
      </c>
      <c r="AB8" s="5">
        <f>-100+(100*AA8/Y8)</f>
        <v/>
      </c>
    </row>
    <row r="9">
      <c r="A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  <c r="N9" s="71" t="n"/>
      <c r="O9" s="71" t="n"/>
      <c r="P9" s="71" t="n"/>
      <c r="Q9" s="71" t="n"/>
      <c r="R9" s="71" t="n"/>
      <c r="S9" s="71" t="n"/>
      <c r="T9" s="71" t="n"/>
      <c r="U9" s="18" t="n"/>
      <c r="V9" s="19" t="n"/>
      <c r="W9" s="19" t="n"/>
      <c r="X9" s="20" t="n"/>
      <c r="Y9" s="3">
        <f>V9-W9</f>
        <v/>
      </c>
      <c r="Z9" s="3">
        <f>Y9*X9</f>
        <v/>
      </c>
      <c r="AA9" s="5">
        <f>4416/X9</f>
        <v/>
      </c>
      <c r="AB9" s="5">
        <f>-100+(100*AA9/Y9)</f>
        <v/>
      </c>
    </row>
    <row r="10" ht="15" customHeight="1">
      <c r="A10" s="49" t="n">
        <v>3</v>
      </c>
      <c r="C10" s="50" t="n">
        <v>0.9479166666666666</v>
      </c>
      <c r="D10" s="40" t="inlineStr">
        <is>
          <t>sound wav ~2min</t>
        </is>
      </c>
      <c r="E10" s="53" t="inlineStr">
        <is>
          <t>141/92/74</t>
        </is>
      </c>
      <c r="F10" s="40" t="inlineStr">
        <is>
          <t>ekg pdf ~30sec</t>
        </is>
      </c>
      <c r="G10" s="52" t="n">
        <v>19.3</v>
      </c>
      <c r="H10" s="48" t="n">
        <v>0.82</v>
      </c>
      <c r="I10" s="40" t="n">
        <v>1008</v>
      </c>
      <c r="J10" s="40" t="n">
        <v>36.9</v>
      </c>
      <c r="K10" s="48" t="n">
        <v>0.97</v>
      </c>
      <c r="L10" s="40" t="n">
        <v>72</v>
      </c>
      <c r="M10" s="73" t="n"/>
      <c r="N10" s="40" t="n"/>
      <c r="O10" s="73" t="n"/>
      <c r="P10" s="69" t="inlineStr">
        <is>
          <t>during smoking</t>
        </is>
      </c>
      <c r="Q10" s="68" t="n"/>
      <c r="R10" s="68" t="n"/>
      <c r="S10" s="68" t="n"/>
      <c r="T10" s="68" t="n"/>
      <c r="U10" s="13" t="n"/>
      <c r="V10" s="14" t="n">
        <v>141</v>
      </c>
      <c r="W10" s="14" t="n">
        <v>92</v>
      </c>
      <c r="X10" s="15" t="n">
        <v>74</v>
      </c>
      <c r="Y10" s="21">
        <f>V10-W10</f>
        <v/>
      </c>
      <c r="Z10" s="3">
        <f>Y10*X10</f>
        <v/>
      </c>
      <c r="AA10" s="5">
        <f>4416/X10</f>
        <v/>
      </c>
      <c r="AB10" s="5">
        <f>-100+(100*AA10/Y10)</f>
        <v/>
      </c>
    </row>
    <row r="11">
      <c r="A11" s="70" t="n"/>
      <c r="C11" s="70" t="n"/>
      <c r="D11" s="70" t="n"/>
      <c r="E11" s="70" t="n"/>
      <c r="F11" s="70" t="n"/>
      <c r="G11" s="70" t="n"/>
      <c r="H11" s="70" t="n"/>
      <c r="I11" s="70" t="n"/>
      <c r="J11" s="70" t="n"/>
      <c r="K11" s="70" t="n"/>
      <c r="L11" s="70" t="n"/>
      <c r="M11" s="70" t="n"/>
      <c r="N11" s="70" t="n"/>
      <c r="O11" s="70" t="n"/>
      <c r="P11" s="70" t="n"/>
      <c r="Q11" s="70" t="n"/>
      <c r="R11" s="70" t="n"/>
      <c r="S11" s="70" t="n"/>
      <c r="T11" s="70" t="n"/>
      <c r="U11" s="16" t="n"/>
      <c r="X11" s="17" t="n"/>
      <c r="Y11" s="3">
        <f>V11-W11</f>
        <v/>
      </c>
      <c r="Z11" s="3">
        <f>Y11*X11</f>
        <v/>
      </c>
      <c r="AA11" s="5">
        <f>4416/X11</f>
        <v/>
      </c>
      <c r="AB11" s="5">
        <f>-100+(100*AA11/Y11)</f>
        <v/>
      </c>
    </row>
    <row r="12">
      <c r="A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  <c r="N12" s="71" t="n"/>
      <c r="O12" s="71" t="n"/>
      <c r="P12" s="71" t="n"/>
      <c r="Q12" s="71" t="n"/>
      <c r="R12" s="71" t="n"/>
      <c r="S12" s="71" t="n"/>
      <c r="T12" s="71" t="n"/>
      <c r="U12" s="18" t="n"/>
      <c r="V12" s="19" t="n"/>
      <c r="W12" s="19" t="n"/>
      <c r="X12" s="20" t="n"/>
      <c r="Y12" s="3">
        <f>V12-W12</f>
        <v/>
      </c>
      <c r="Z12" s="3">
        <f>Y12*X12</f>
        <v/>
      </c>
      <c r="AA12" s="5">
        <f>4416/X12</f>
        <v/>
      </c>
      <c r="AB12" s="5">
        <f>-100+(100*AA12/Y12)</f>
        <v/>
      </c>
    </row>
    <row r="13" ht="45" customHeight="1">
      <c r="A13" s="49" t="n">
        <v>4</v>
      </c>
      <c r="B13" s="1" t="inlineStr">
        <is>
          <t>8:16 h sleep / sleep score 66 (REM 20% light 64% deep 6% awake 10%)</t>
        </is>
      </c>
      <c r="C13" s="50" t="n">
        <v>0.3472222222222222</v>
      </c>
      <c r="D13" s="40" t="inlineStr">
        <is>
          <t>sound wav ~2min</t>
        </is>
      </c>
      <c r="E13" s="33" t="inlineStr">
        <is>
          <t>135/82/82</t>
        </is>
      </c>
      <c r="F13" s="40" t="inlineStr">
        <is>
          <t>ekg pdf ~30sec</t>
        </is>
      </c>
      <c r="G13" s="52" t="n">
        <v>18</v>
      </c>
      <c r="H13" s="48" t="n">
        <v>0.91</v>
      </c>
      <c r="I13" s="40" t="n">
        <v>1007</v>
      </c>
      <c r="J13" s="40" t="n">
        <v>36.5</v>
      </c>
      <c r="K13" s="48" t="n">
        <v>0.97</v>
      </c>
      <c r="L13" s="40" t="n">
        <v>82</v>
      </c>
      <c r="M13" s="47" t="inlineStr">
        <is>
          <t>113/75/82  SpO2 98% synus rhythm</t>
        </is>
      </c>
      <c r="N13" s="40" t="inlineStr">
        <is>
          <t>low stress</t>
        </is>
      </c>
      <c r="O13" s="73" t="n"/>
      <c r="P13" s="49" t="inlineStr">
        <is>
          <t>after cofee &amp; smoking</t>
        </is>
      </c>
      <c r="Q13" s="49" t="n">
        <v>1</v>
      </c>
      <c r="R13" s="49" t="n">
        <v>3</v>
      </c>
      <c r="S13" s="49" t="n">
        <v>5</v>
      </c>
      <c r="T13" s="49" t="inlineStr">
        <is>
          <t>light rain</t>
        </is>
      </c>
      <c r="U13" s="13" t="inlineStr">
        <is>
          <t>wake up at 6:50</t>
        </is>
      </c>
      <c r="V13" s="14" t="n">
        <v>135</v>
      </c>
      <c r="W13" s="14" t="n">
        <v>82</v>
      </c>
      <c r="X13" s="15" t="n">
        <v>82</v>
      </c>
      <c r="Y13" s="3">
        <f>V13-W13</f>
        <v/>
      </c>
      <c r="Z13" s="3">
        <f>Y13*X13</f>
        <v/>
      </c>
      <c r="AA13" s="5">
        <f>4416/X13</f>
        <v/>
      </c>
      <c r="AB13" s="5">
        <f>-100+(100*AA13/Y13)</f>
        <v/>
      </c>
    </row>
    <row r="14">
      <c r="A14" s="70" t="n"/>
      <c r="B14" s="4" t="inlineStr">
        <is>
          <t>20 iul 2021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16" t="inlineStr">
        <is>
          <t>after pills</t>
        </is>
      </c>
      <c r="X14" s="17" t="n"/>
      <c r="Y14" s="3">
        <f>V14-W14</f>
        <v/>
      </c>
      <c r="Z14" s="3">
        <f>Y14*X14</f>
        <v/>
      </c>
      <c r="AA14" s="5">
        <f>4416/X14</f>
        <v/>
      </c>
      <c r="AB14" s="5">
        <f>-100+(100*AA14/Y14)</f>
        <v/>
      </c>
    </row>
    <row r="15">
      <c r="A15" s="71" t="n"/>
      <c r="B15" s="1" t="inlineStr">
        <is>
          <t>total 6850 steps</t>
        </is>
      </c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  <c r="N15" s="71" t="n"/>
      <c r="O15" s="71" t="n"/>
      <c r="P15" s="71" t="n"/>
      <c r="Q15" s="71" t="n"/>
      <c r="R15" s="71" t="n"/>
      <c r="S15" s="71" t="n"/>
      <c r="T15" s="71" t="n"/>
      <c r="U15" s="18" t="n"/>
      <c r="V15" s="19" t="n"/>
      <c r="W15" s="19" t="n"/>
      <c r="X15" s="20" t="n"/>
      <c r="Y15" s="3">
        <f>V15-W15</f>
        <v/>
      </c>
      <c r="Z15" s="3">
        <f>Y15*X15</f>
        <v/>
      </c>
      <c r="AA15" s="5">
        <f>4416/X15</f>
        <v/>
      </c>
      <c r="AB15" s="5">
        <f>-100+(100*AA15/Y15)</f>
        <v/>
      </c>
    </row>
    <row r="16" ht="45" customHeight="1">
      <c r="A16" s="49" t="n">
        <v>5</v>
      </c>
      <c r="C16" s="50" t="n">
        <v>0.4270833333333333</v>
      </c>
      <c r="D16" s="40" t="inlineStr">
        <is>
          <t>sound wav ~2min</t>
        </is>
      </c>
      <c r="E16" s="33" t="inlineStr">
        <is>
          <t>120/76/85</t>
        </is>
      </c>
      <c r="F16" s="40" t="inlineStr">
        <is>
          <t>ekg pdf ~30sec</t>
        </is>
      </c>
      <c r="G16" s="52" t="n">
        <v>18.2</v>
      </c>
      <c r="H16" s="48" t="n">
        <v>0.9</v>
      </c>
      <c r="I16" s="40" t="n">
        <v>1007</v>
      </c>
      <c r="J16" s="40" t="n">
        <v>36.5</v>
      </c>
      <c r="K16" s="48" t="n">
        <v>0.98</v>
      </c>
      <c r="L16" s="40" t="n">
        <v>85</v>
      </c>
      <c r="M16" s="47" t="inlineStr">
        <is>
          <t>114/75/86  SpO2 99% synus rhythm</t>
        </is>
      </c>
      <c r="N16" s="40" t="inlineStr">
        <is>
          <t>light headache</t>
        </is>
      </c>
      <c r="O16" s="73" t="n"/>
      <c r="P16" s="49" t="inlineStr">
        <is>
          <t>after breakfast</t>
        </is>
      </c>
      <c r="Q16" s="49" t="n">
        <v>3</v>
      </c>
      <c r="R16" s="49" t="n">
        <v>4</v>
      </c>
      <c r="S16" s="49" t="n">
        <v>6</v>
      </c>
      <c r="T16" s="49" t="inlineStr">
        <is>
          <t>light rain</t>
        </is>
      </c>
      <c r="U16" s="13" t="n"/>
      <c r="V16" s="14" t="n">
        <v>120</v>
      </c>
      <c r="W16" s="14" t="n">
        <v>76</v>
      </c>
      <c r="X16" s="15" t="n">
        <v>85</v>
      </c>
      <c r="Y16" s="3">
        <f>V16-W16</f>
        <v/>
      </c>
      <c r="Z16" s="3">
        <f>Y16*X16</f>
        <v/>
      </c>
      <c r="AA16" s="5">
        <f>4416/X16</f>
        <v/>
      </c>
      <c r="AB16" s="5">
        <f>-100+(100*AA16/Y16)</f>
        <v/>
      </c>
    </row>
    <row r="17" ht="45" customHeight="1">
      <c r="A17" s="70" t="n"/>
      <c r="B17" s="3" t="inlineStr">
        <is>
          <t>after 2200 steps</t>
        </is>
      </c>
      <c r="C17" s="70" t="n"/>
      <c r="D17" s="70" t="n"/>
      <c r="E17" s="70" t="n"/>
      <c r="F17" s="70" t="n"/>
      <c r="G17" s="70" t="n"/>
      <c r="H17" s="70" t="n"/>
      <c r="I17" s="70" t="n"/>
      <c r="J17" s="70" t="n"/>
      <c r="K17" s="70" t="n"/>
      <c r="L17" s="70" t="n"/>
      <c r="M17" s="70" t="n"/>
      <c r="N17" s="70" t="n"/>
      <c r="O17" s="70" t="n"/>
      <c r="P17" s="70" t="n"/>
      <c r="Q17" s="70" t="n"/>
      <c r="R17" s="70" t="n"/>
      <c r="S17" s="70" t="n"/>
      <c r="T17" s="70" t="n"/>
      <c r="U17" s="16" t="n"/>
      <c r="X17" s="17" t="n"/>
      <c r="Y17" s="3">
        <f>V17-W17</f>
        <v/>
      </c>
      <c r="Z17" s="3">
        <f>Y17*X17</f>
        <v/>
      </c>
      <c r="AA17" s="5">
        <f>4416/X17</f>
        <v/>
      </c>
      <c r="AB17" s="5">
        <f>-100+(100*AA17/Y17)</f>
        <v/>
      </c>
    </row>
    <row r="18">
      <c r="A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  <c r="N18" s="71" t="n"/>
      <c r="O18" s="71" t="n"/>
      <c r="P18" s="71" t="n"/>
      <c r="Q18" s="71" t="n"/>
      <c r="R18" s="71" t="n"/>
      <c r="S18" s="71" t="n"/>
      <c r="T18" s="71" t="n"/>
      <c r="U18" s="18" t="n"/>
      <c r="V18" s="19" t="n"/>
      <c r="W18" s="19" t="n"/>
      <c r="X18" s="20" t="n"/>
      <c r="Y18" s="3">
        <f>V18-W18</f>
        <v/>
      </c>
      <c r="Z18" s="3">
        <f>Y18*X18</f>
        <v/>
      </c>
      <c r="AA18" s="5">
        <f>4416/X18</f>
        <v/>
      </c>
      <c r="AB18" s="5">
        <f>-100+(100*AA18/Y18)</f>
        <v/>
      </c>
    </row>
    <row r="19">
      <c r="A19" s="49" t="n">
        <v>6</v>
      </c>
      <c r="C19" s="50" t="n">
        <v>0.4652777777777778</v>
      </c>
      <c r="D19" s="40" t="inlineStr">
        <is>
          <t>sound wav ~2min</t>
        </is>
      </c>
      <c r="E19" s="33" t="inlineStr">
        <is>
          <t>123/72/85</t>
        </is>
      </c>
      <c r="F19" s="40" t="inlineStr">
        <is>
          <t>ekg pdf ~30sec</t>
        </is>
      </c>
      <c r="G19" s="52" t="n">
        <v>18.4</v>
      </c>
      <c r="H19" s="48" t="n">
        <v>0.9</v>
      </c>
      <c r="I19" s="40" t="n">
        <v>1007</v>
      </c>
      <c r="J19" s="40" t="n">
        <v>36.6</v>
      </c>
      <c r="K19" s="48" t="n">
        <v>0.98</v>
      </c>
      <c r="L19" s="40" t="n">
        <v>87</v>
      </c>
      <c r="M19" s="47" t="inlineStr">
        <is>
          <t>113/75/91  SpO2 97% synus rhythm</t>
        </is>
      </c>
      <c r="N19" s="40" t="inlineStr">
        <is>
          <t>light headache</t>
        </is>
      </c>
      <c r="O19" s="73" t="n"/>
      <c r="P19" s="49" t="inlineStr">
        <is>
          <t>after cofee &amp; smoking</t>
        </is>
      </c>
      <c r="Q19" s="49" t="n">
        <v>2</v>
      </c>
      <c r="R19" s="49" t="n">
        <v>5</v>
      </c>
      <c r="S19" s="49" t="n">
        <v>7</v>
      </c>
      <c r="T19" s="49" t="inlineStr">
        <is>
          <t>light rain</t>
        </is>
      </c>
      <c r="U19" s="13" t="n"/>
      <c r="V19" s="14" t="n">
        <v>123</v>
      </c>
      <c r="W19" s="14" t="n">
        <v>72</v>
      </c>
      <c r="X19" s="15" t="n">
        <v>85</v>
      </c>
      <c r="Y19" s="3">
        <f>V19-W19</f>
        <v/>
      </c>
      <c r="Z19" s="3">
        <f>Y19*X19</f>
        <v/>
      </c>
      <c r="AA19" s="5">
        <f>4416/X19</f>
        <v/>
      </c>
      <c r="AB19" s="5">
        <f>-100+(100*AA19/Y19)</f>
        <v/>
      </c>
    </row>
    <row r="20">
      <c r="A20" s="70" t="n"/>
      <c r="B20" s="3" t="inlineStr">
        <is>
          <t>plus 450 steps</t>
        </is>
      </c>
      <c r="C20" s="70" t="n"/>
      <c r="D20" s="70" t="n"/>
      <c r="E20" s="70" t="n"/>
      <c r="F20" s="70" t="n"/>
      <c r="G20" s="70" t="n"/>
      <c r="H20" s="70" t="n"/>
      <c r="I20" s="70" t="n"/>
      <c r="J20" s="70" t="n"/>
      <c r="K20" s="70" t="n"/>
      <c r="L20" s="70" t="n"/>
      <c r="M20" s="70" t="n"/>
      <c r="N20" s="70" t="n"/>
      <c r="O20" s="70" t="n"/>
      <c r="P20" s="70" t="n"/>
      <c r="Q20" s="70" t="n"/>
      <c r="R20" s="70" t="n"/>
      <c r="S20" s="70" t="n"/>
      <c r="T20" s="70" t="n"/>
      <c r="U20" s="16" t="n"/>
      <c r="X20" s="17" t="n"/>
      <c r="Y20" s="3">
        <f>V20-W20</f>
        <v/>
      </c>
      <c r="Z20" s="3">
        <f>Y20*X20</f>
        <v/>
      </c>
      <c r="AA20" s="5">
        <f>4416/X20</f>
        <v/>
      </c>
      <c r="AB20" s="5">
        <f>-100+(100*AA20/Y20)</f>
        <v/>
      </c>
    </row>
    <row r="21" ht="57" customHeight="1">
      <c r="A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  <c r="N21" s="71" t="n"/>
      <c r="O21" s="71" t="n"/>
      <c r="P21" s="71" t="n"/>
      <c r="Q21" s="71" t="n"/>
      <c r="R21" s="71" t="n"/>
      <c r="S21" s="71" t="n"/>
      <c r="T21" s="71" t="n"/>
      <c r="U21" s="18" t="n"/>
      <c r="V21" s="19" t="n"/>
      <c r="W21" s="19" t="n"/>
      <c r="X21" s="20" t="n"/>
      <c r="Y21" s="3">
        <f>V21-W21</f>
        <v/>
      </c>
      <c r="Z21" s="3">
        <f>Y21*X21</f>
        <v/>
      </c>
      <c r="AA21" s="5">
        <f>4416/X21</f>
        <v/>
      </c>
      <c r="AB21" s="5">
        <f>-100+(100*AA21/Y21)</f>
        <v/>
      </c>
    </row>
    <row r="22">
      <c r="A22" s="49" t="n">
        <v>7</v>
      </c>
      <c r="C22" s="50" t="n">
        <v>0.5590277777777778</v>
      </c>
      <c r="D22" s="40" t="inlineStr">
        <is>
          <t>wave loud</t>
        </is>
      </c>
      <c r="E22" s="57" t="inlineStr">
        <is>
          <t>116/70/92</t>
        </is>
      </c>
      <c r="F22" s="40" t="inlineStr">
        <is>
          <t>ekg pdf ~30sec</t>
        </is>
      </c>
      <c r="G22" s="52" t="n">
        <v>20.6</v>
      </c>
      <c r="H22" s="48" t="n">
        <v>0.85</v>
      </c>
      <c r="I22" s="40" t="n">
        <v>1007</v>
      </c>
      <c r="J22" s="74" t="n">
        <v>36.4</v>
      </c>
      <c r="K22" s="48" t="n">
        <v>0.97</v>
      </c>
      <c r="L22" s="40" t="n">
        <v>94</v>
      </c>
      <c r="M22" s="61" t="inlineStr">
        <is>
          <t>113/75/92  SpO2 97% synus rhythm</t>
        </is>
      </c>
      <c r="N22" s="40" t="inlineStr">
        <is>
          <t>medium stress</t>
        </is>
      </c>
      <c r="O22" s="73" t="n"/>
      <c r="P22" s="49" t="inlineStr">
        <is>
          <t>after office activities</t>
        </is>
      </c>
      <c r="Q22" s="49" t="n">
        <v>1</v>
      </c>
      <c r="R22" s="49" t="n">
        <v>2</v>
      </c>
      <c r="S22" s="49" t="n">
        <v>2</v>
      </c>
      <c r="T22" s="49" t="inlineStr">
        <is>
          <t>sunny</t>
        </is>
      </c>
      <c r="U22" s="13" t="n"/>
      <c r="V22" s="14" t="n">
        <v>116</v>
      </c>
      <c r="W22" s="14" t="n">
        <v>70</v>
      </c>
      <c r="X22" s="15" t="n">
        <v>92</v>
      </c>
      <c r="Y22" s="3">
        <f>V22-W22</f>
        <v/>
      </c>
      <c r="Z22" s="3">
        <f>Y22*X22</f>
        <v/>
      </c>
      <c r="AA22" s="5">
        <f>4416/X22</f>
        <v/>
      </c>
      <c r="AB22" s="5">
        <f>-100+(100*AA22/Y22)</f>
        <v/>
      </c>
    </row>
    <row r="23">
      <c r="A23" s="70" t="n"/>
      <c r="B23" s="3" t="inlineStr">
        <is>
          <t>plus 200 steps</t>
        </is>
      </c>
      <c r="C23" s="70" t="n"/>
      <c r="D23" s="70" t="n"/>
      <c r="E23" s="70" t="n"/>
      <c r="F23" s="70" t="n"/>
      <c r="G23" s="70" t="n"/>
      <c r="H23" s="70" t="n"/>
      <c r="I23" s="70" t="n"/>
      <c r="J23" s="70" t="n"/>
      <c r="K23" s="70" t="n"/>
      <c r="L23" s="70" t="n"/>
      <c r="M23" s="70" t="n"/>
      <c r="N23" s="70" t="n"/>
      <c r="O23" s="70" t="n"/>
      <c r="P23" s="70" t="n"/>
      <c r="Q23" s="70" t="n"/>
      <c r="R23" s="70" t="n"/>
      <c r="S23" s="70" t="n"/>
      <c r="T23" s="70" t="n"/>
      <c r="U23" s="16" t="n"/>
      <c r="X23" s="17" t="n"/>
      <c r="Y23" s="3">
        <f>V23-W23</f>
        <v/>
      </c>
      <c r="Z23" s="3">
        <f>Y23*X23</f>
        <v/>
      </c>
      <c r="AA23" s="5">
        <f>4416/X23</f>
        <v/>
      </c>
      <c r="AB23" s="5">
        <f>-100+(100*AA23/Y23)</f>
        <v/>
      </c>
    </row>
    <row r="24">
      <c r="A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  <c r="N24" s="71" t="n"/>
      <c r="O24" s="71" t="n"/>
      <c r="P24" s="71" t="n"/>
      <c r="Q24" s="71" t="n"/>
      <c r="R24" s="71" t="n"/>
      <c r="S24" s="71" t="n"/>
      <c r="T24" s="71" t="n"/>
      <c r="U24" s="18" t="n"/>
      <c r="V24" s="19" t="n"/>
      <c r="W24" s="19" t="n"/>
      <c r="X24" s="20" t="n"/>
      <c r="Y24" s="3">
        <f>V24-W24</f>
        <v/>
      </c>
      <c r="Z24" s="3">
        <f>Y24*X24</f>
        <v/>
      </c>
      <c r="AA24" s="5">
        <f>4416/X24</f>
        <v/>
      </c>
      <c r="AB24" s="5">
        <f>-100+(100*AA24/Y24)</f>
        <v/>
      </c>
    </row>
    <row r="25">
      <c r="A25" s="49" t="n">
        <v>8</v>
      </c>
      <c r="C25" s="50" t="n">
        <v>0.6423611111111112</v>
      </c>
      <c r="D25" s="40" t="inlineStr">
        <is>
          <t>wave loud</t>
        </is>
      </c>
      <c r="E25" s="33" t="inlineStr">
        <is>
          <t>122/77/95</t>
        </is>
      </c>
      <c r="F25" s="40" t="inlineStr">
        <is>
          <t>ekg pdf ~30sec</t>
        </is>
      </c>
      <c r="G25" s="52" t="n">
        <v>19.1</v>
      </c>
      <c r="H25" s="48" t="n">
        <v>0.84</v>
      </c>
      <c r="I25" s="40" t="n">
        <v>1007</v>
      </c>
      <c r="J25" s="40" t="n">
        <v>36.7</v>
      </c>
      <c r="K25" s="48" t="n">
        <v>0.98</v>
      </c>
      <c r="L25" s="40" t="n">
        <v>95</v>
      </c>
      <c r="M25" s="47" t="inlineStr">
        <is>
          <t>114/76/96  SpO2 97% synus rhythm</t>
        </is>
      </c>
      <c r="N25" s="40" t="inlineStr">
        <is>
          <t>medium stress</t>
        </is>
      </c>
      <c r="O25" s="73" t="n"/>
      <c r="P25" s="49" t="inlineStr">
        <is>
          <t>after lunch &amp; office activities</t>
        </is>
      </c>
      <c r="Q25" s="49" t="n">
        <v>0</v>
      </c>
      <c r="R25" s="49" t="n">
        <v>0</v>
      </c>
      <c r="S25" s="49" t="n">
        <v>0</v>
      </c>
      <c r="T25" s="49" t="inlineStr">
        <is>
          <t>rain</t>
        </is>
      </c>
      <c r="U25" s="13" t="n"/>
      <c r="V25" s="14" t="n">
        <v>122</v>
      </c>
      <c r="W25" s="14" t="n">
        <v>77</v>
      </c>
      <c r="X25" s="15" t="n">
        <v>95</v>
      </c>
      <c r="Y25" s="3">
        <f>V25-W25</f>
        <v/>
      </c>
      <c r="Z25" s="3">
        <f>Y25*X25</f>
        <v/>
      </c>
      <c r="AA25" s="5">
        <f>4416/X25</f>
        <v/>
      </c>
      <c r="AB25" s="5">
        <f>-100+(100*AA25/Y25)</f>
        <v/>
      </c>
    </row>
    <row r="26">
      <c r="A26" s="70" t="n"/>
      <c r="B26" s="3" t="inlineStr">
        <is>
          <t>plus 1200 steps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16" t="n"/>
      <c r="X26" s="17" t="n"/>
      <c r="Y26" s="3">
        <f>V26-W26</f>
        <v/>
      </c>
      <c r="Z26" s="3">
        <f>Y26*X26</f>
        <v/>
      </c>
      <c r="AA26" s="5">
        <f>4416/X26</f>
        <v/>
      </c>
      <c r="AB26" s="5">
        <f>-100+(100*AA26/Y26)</f>
        <v/>
      </c>
    </row>
    <row r="27">
      <c r="A27" s="71" t="n"/>
      <c r="C27" s="71" t="n"/>
      <c r="D27" s="71" t="n"/>
      <c r="E27" s="71" t="n"/>
      <c r="F27" s="71" t="n"/>
      <c r="G27" s="71" t="n"/>
      <c r="H27" s="71" t="n"/>
      <c r="I27" s="71" t="n"/>
      <c r="J27" s="71" t="n"/>
      <c r="K27" s="71" t="n"/>
      <c r="L27" s="71" t="n"/>
      <c r="M27" s="71" t="n"/>
      <c r="N27" s="71" t="n"/>
      <c r="O27" s="71" t="n"/>
      <c r="P27" s="71" t="n"/>
      <c r="Q27" s="71" t="n"/>
      <c r="R27" s="71" t="n"/>
      <c r="S27" s="71" t="n"/>
      <c r="T27" s="71" t="n"/>
      <c r="U27" s="18" t="n"/>
      <c r="V27" s="19" t="n"/>
      <c r="W27" s="19" t="n"/>
      <c r="X27" s="20" t="n"/>
      <c r="Y27" s="3">
        <f>V27-W27</f>
        <v/>
      </c>
      <c r="Z27" s="3">
        <f>Y27*X27</f>
        <v/>
      </c>
      <c r="AA27" s="5">
        <f>4416/X27</f>
        <v/>
      </c>
      <c r="AB27" s="5">
        <f>-100+(100*AA27/Y27)</f>
        <v/>
      </c>
    </row>
    <row r="28" ht="15" customHeight="1">
      <c r="A28" s="49" t="n">
        <v>9</v>
      </c>
      <c r="C28" s="50" t="n">
        <v>0.75</v>
      </c>
      <c r="D28" s="40" t="inlineStr">
        <is>
          <t>sound wav ~2min</t>
        </is>
      </c>
      <c r="E28" s="33" t="inlineStr">
        <is>
          <t>121/81/98</t>
        </is>
      </c>
      <c r="F28" s="40" t="inlineStr">
        <is>
          <t>ekg pdf ~30sec</t>
        </is>
      </c>
      <c r="G28" s="52" t="n">
        <v>18.7</v>
      </c>
      <c r="H28" s="48" t="n">
        <v>0.89</v>
      </c>
      <c r="I28" s="40" t="n">
        <v>1008</v>
      </c>
      <c r="J28" s="40" t="n">
        <v>36.5</v>
      </c>
      <c r="K28" s="48" t="n">
        <v>0.98</v>
      </c>
      <c r="L28" s="40" t="n">
        <v>96</v>
      </c>
      <c r="M28" s="47" t="inlineStr">
        <is>
          <t>119/80/97  SpO2 96% synus rhythm</t>
        </is>
      </c>
      <c r="N28" s="40" t="inlineStr">
        <is>
          <t>high stress</t>
        </is>
      </c>
      <c r="O28" s="73" t="n"/>
      <c r="P28" s="49" t="inlineStr">
        <is>
          <t>office activities</t>
        </is>
      </c>
      <c r="Q28" s="49" t="n">
        <v>0</v>
      </c>
      <c r="R28" s="49" t="n">
        <v>1</v>
      </c>
      <c r="S28" s="49" t="n">
        <v>2</v>
      </c>
      <c r="T28" s="49" t="inlineStr">
        <is>
          <t>cloudy</t>
        </is>
      </c>
      <c r="U28" s="13" t="n"/>
      <c r="V28" s="14" t="n">
        <v>121</v>
      </c>
      <c r="W28" s="14" t="n">
        <v>81</v>
      </c>
      <c r="X28" s="15" t="n">
        <v>98</v>
      </c>
      <c r="Y28" s="3">
        <f>V28-W28</f>
        <v/>
      </c>
      <c r="Z28" s="3">
        <f>Y28*X28</f>
        <v/>
      </c>
      <c r="AA28" s="5">
        <f>4416/X28</f>
        <v/>
      </c>
      <c r="AB28" s="5">
        <f>-100+(100*AA28/Y28)</f>
        <v/>
      </c>
    </row>
    <row r="29">
      <c r="A29" s="70" t="n"/>
      <c r="C29" s="70" t="n"/>
      <c r="D29" s="70" t="n"/>
      <c r="E29" s="70" t="n"/>
      <c r="F29" s="70" t="n"/>
      <c r="G29" s="70" t="n"/>
      <c r="H29" s="70" t="n"/>
      <c r="I29" s="70" t="n"/>
      <c r="J29" s="70" t="n"/>
      <c r="K29" s="70" t="n"/>
      <c r="L29" s="70" t="n"/>
      <c r="M29" s="70" t="n"/>
      <c r="N29" s="70" t="n"/>
      <c r="O29" s="70" t="n"/>
      <c r="P29" s="70" t="n"/>
      <c r="Q29" s="70" t="n"/>
      <c r="R29" s="70" t="n"/>
      <c r="S29" s="70" t="n"/>
      <c r="T29" s="70" t="n"/>
      <c r="U29" s="16" t="n"/>
      <c r="X29" s="17" t="n"/>
      <c r="Y29" s="3">
        <f>V29-W29</f>
        <v/>
      </c>
      <c r="Z29" s="3">
        <f>Y29*X29</f>
        <v/>
      </c>
      <c r="AA29" s="5">
        <f>4416/X29</f>
        <v/>
      </c>
      <c r="AB29" s="5">
        <f>-100+(100*AA29/Y29)</f>
        <v/>
      </c>
    </row>
    <row r="30">
      <c r="A30" s="71" t="n"/>
      <c r="C30" s="71" t="n"/>
      <c r="D30" s="71" t="n"/>
      <c r="E30" s="71" t="n"/>
      <c r="F30" s="71" t="n"/>
      <c r="G30" s="71" t="n"/>
      <c r="H30" s="71" t="n"/>
      <c r="I30" s="71" t="n"/>
      <c r="J30" s="71" t="n"/>
      <c r="K30" s="71" t="n"/>
      <c r="L30" s="71" t="n"/>
      <c r="M30" s="71" t="n"/>
      <c r="N30" s="71" t="n"/>
      <c r="O30" s="71" t="n"/>
      <c r="P30" s="71" t="n"/>
      <c r="Q30" s="71" t="n"/>
      <c r="R30" s="71" t="n"/>
      <c r="S30" s="71" t="n"/>
      <c r="T30" s="71" t="n"/>
      <c r="U30" s="18" t="n"/>
      <c r="V30" s="19" t="n"/>
      <c r="W30" s="19" t="n"/>
      <c r="X30" s="20" t="n"/>
      <c r="Y30" s="3">
        <f>V30-W30</f>
        <v/>
      </c>
      <c r="Z30" s="3">
        <f>Y30*X30</f>
        <v/>
      </c>
      <c r="AA30" s="5">
        <f>4416/X30</f>
        <v/>
      </c>
      <c r="AB30" s="5">
        <f>-100+(100*AA30/Y30)</f>
        <v/>
      </c>
    </row>
    <row r="31" ht="15" customHeight="1">
      <c r="A31" s="49" t="n">
        <v>10</v>
      </c>
      <c r="C31" s="50" t="n">
        <v>0.8402777777777778</v>
      </c>
      <c r="D31" s="40" t="inlineStr">
        <is>
          <t>sound wav ~2min</t>
        </is>
      </c>
      <c r="E31" s="33" t="inlineStr">
        <is>
          <t>130/79/89</t>
        </is>
      </c>
      <c r="F31" s="40" t="inlineStr">
        <is>
          <t>ekg pdf ~30sec</t>
        </is>
      </c>
      <c r="G31" s="52" t="n">
        <v>18.3</v>
      </c>
      <c r="H31" s="48" t="n">
        <v>0.89</v>
      </c>
      <c r="I31" s="40" t="n">
        <v>1009</v>
      </c>
      <c r="J31" s="40" t="n">
        <v>36.9</v>
      </c>
      <c r="K31" s="48" t="n">
        <v>0.96</v>
      </c>
      <c r="L31" s="40" t="n">
        <v>90</v>
      </c>
      <c r="M31" s="47" t="inlineStr">
        <is>
          <t>114/76/90  SpO2 96% synus rhythm</t>
        </is>
      </c>
      <c r="N31" s="40" t="inlineStr">
        <is>
          <t>low stress</t>
        </is>
      </c>
      <c r="O31" s="73" t="n"/>
      <c r="P31" s="49" t="inlineStr">
        <is>
          <t>after 5 min smoking</t>
        </is>
      </c>
      <c r="Q31" s="49" t="n">
        <v>1</v>
      </c>
      <c r="R31" s="49" t="n">
        <v>2</v>
      </c>
      <c r="S31" s="49" t="n">
        <v>2</v>
      </c>
      <c r="T31" s="49" t="inlineStr">
        <is>
          <t>rain</t>
        </is>
      </c>
      <c r="U31" s="13" t="n"/>
      <c r="V31" s="14" t="n">
        <v>130</v>
      </c>
      <c r="W31" s="14" t="n">
        <v>79</v>
      </c>
      <c r="X31" s="15" t="n">
        <v>89</v>
      </c>
      <c r="Y31" s="3">
        <f>V31-W31</f>
        <v/>
      </c>
      <c r="Z31" s="3">
        <f>Y31*X31</f>
        <v/>
      </c>
      <c r="AA31" s="5">
        <f>4416/X31</f>
        <v/>
      </c>
      <c r="AB31" s="5">
        <f>-100+(100*AA31/Y31)</f>
        <v/>
      </c>
    </row>
    <row r="32">
      <c r="A32" s="70" t="n"/>
      <c r="B32" s="3" t="inlineStr">
        <is>
          <t>plus 2700 steps</t>
        </is>
      </c>
      <c r="C32" s="70" t="n"/>
      <c r="D32" s="70" t="n"/>
      <c r="E32" s="70" t="n"/>
      <c r="F32" s="70" t="n"/>
      <c r="G32" s="70" t="n"/>
      <c r="H32" s="70" t="n"/>
      <c r="I32" s="70" t="n"/>
      <c r="J32" s="70" t="n"/>
      <c r="K32" s="70" t="n"/>
      <c r="L32" s="70" t="n"/>
      <c r="M32" s="70" t="n"/>
      <c r="N32" s="70" t="n"/>
      <c r="O32" s="70" t="n"/>
      <c r="P32" s="70" t="n"/>
      <c r="Q32" s="70" t="n"/>
      <c r="R32" s="70" t="n"/>
      <c r="S32" s="70" t="n"/>
      <c r="T32" s="70" t="n"/>
      <c r="U32" s="16" t="n"/>
      <c r="X32" s="17" t="n"/>
      <c r="Y32" s="3">
        <f>V32-W32</f>
        <v/>
      </c>
      <c r="Z32" s="3">
        <f>Y32*X32</f>
        <v/>
      </c>
      <c r="AA32" s="5">
        <f>4416/X32</f>
        <v/>
      </c>
      <c r="AB32" s="5">
        <f>-100+(100*AA32/Y32)</f>
        <v/>
      </c>
    </row>
    <row r="33">
      <c r="A33" s="71" t="n"/>
      <c r="C33" s="71" t="n"/>
      <c r="D33" s="71" t="n"/>
      <c r="E33" s="71" t="n"/>
      <c r="F33" s="71" t="n"/>
      <c r="G33" s="71" t="n"/>
      <c r="H33" s="71" t="n"/>
      <c r="I33" s="71" t="n"/>
      <c r="J33" s="71" t="n"/>
      <c r="K33" s="71" t="n"/>
      <c r="L33" s="71" t="n"/>
      <c r="M33" s="71" t="n"/>
      <c r="N33" s="71" t="n"/>
      <c r="O33" s="71" t="n"/>
      <c r="P33" s="71" t="n"/>
      <c r="Q33" s="71" t="n"/>
      <c r="R33" s="71" t="n"/>
      <c r="S33" s="71" t="n"/>
      <c r="T33" s="71" t="n"/>
      <c r="U33" s="18" t="n"/>
      <c r="V33" s="19" t="n"/>
      <c r="W33" s="19" t="n"/>
      <c r="X33" s="20" t="n"/>
      <c r="Y33" s="3">
        <f>V33-W33</f>
        <v/>
      </c>
      <c r="Z33" s="3">
        <f>Y33*X33</f>
        <v/>
      </c>
      <c r="AA33" s="5">
        <f>4416/X33</f>
        <v/>
      </c>
      <c r="AB33" s="5">
        <f>-100+(100*AA33/Y33)</f>
        <v/>
      </c>
    </row>
    <row r="34" ht="15" customHeight="1">
      <c r="A34" s="49" t="n">
        <v>11</v>
      </c>
      <c r="C34" s="50" t="n">
        <v>0.9097222222222222</v>
      </c>
      <c r="D34" s="40" t="inlineStr">
        <is>
          <t>sound wav ~2min</t>
        </is>
      </c>
      <c r="E34" s="33" t="inlineStr">
        <is>
          <t>120/80/82</t>
        </is>
      </c>
      <c r="F34" s="40" t="inlineStr">
        <is>
          <t>ekg pdf ~30sec</t>
        </is>
      </c>
      <c r="G34" s="52" t="n">
        <v>17.3</v>
      </c>
      <c r="H34" s="48" t="n">
        <v>0.9</v>
      </c>
      <c r="I34" s="40" t="n">
        <v>1010</v>
      </c>
      <c r="J34" s="40" t="n">
        <v>36.6</v>
      </c>
      <c r="K34" s="48" t="n">
        <v>0.98</v>
      </c>
      <c r="L34" s="40" t="n">
        <v>82</v>
      </c>
      <c r="M34" s="47" t="inlineStr">
        <is>
          <t>114/75/86  SpO2 94% synus rhythm</t>
        </is>
      </c>
      <c r="N34" s="40" t="inlineStr">
        <is>
          <t>low stress</t>
        </is>
      </c>
      <c r="O34" s="73" t="n"/>
      <c r="P34" s="49" t="inlineStr">
        <is>
          <t>after 5 min smoking</t>
        </is>
      </c>
      <c r="Q34" s="49" t="n">
        <v>1</v>
      </c>
      <c r="R34" s="49" t="n">
        <v>2</v>
      </c>
      <c r="S34" s="49" t="n">
        <v>3</v>
      </c>
      <c r="T34" s="49" t="inlineStr">
        <is>
          <t>rain</t>
        </is>
      </c>
      <c r="U34" s="13" t="n"/>
      <c r="V34" s="14" t="n">
        <v>120</v>
      </c>
      <c r="W34" s="14" t="n">
        <v>80</v>
      </c>
      <c r="X34" s="15" t="n">
        <v>82</v>
      </c>
      <c r="Y34" s="3">
        <f>V34-W34</f>
        <v/>
      </c>
      <c r="Z34" s="3">
        <f>Y34*X34</f>
        <v/>
      </c>
      <c r="AA34" s="5">
        <f>4416/X34</f>
        <v/>
      </c>
      <c r="AB34" s="5">
        <f>-100+(100*AA34/Y34)</f>
        <v/>
      </c>
    </row>
    <row r="35">
      <c r="A35" s="70" t="n"/>
      <c r="B35" s="3" t="inlineStr">
        <is>
          <t>plus 100 steps</t>
        </is>
      </c>
      <c r="C35" s="70" t="n"/>
      <c r="D35" s="70" t="n"/>
      <c r="E35" s="70" t="n"/>
      <c r="F35" s="70" t="n"/>
      <c r="G35" s="70" t="n"/>
      <c r="H35" s="70" t="n"/>
      <c r="I35" s="70" t="n"/>
      <c r="J35" s="70" t="n"/>
      <c r="K35" s="70" t="n"/>
      <c r="L35" s="70" t="n"/>
      <c r="M35" s="70" t="n"/>
      <c r="N35" s="70" t="n"/>
      <c r="O35" s="70" t="n"/>
      <c r="P35" s="70" t="n"/>
      <c r="Q35" s="70" t="n"/>
      <c r="R35" s="70" t="n"/>
      <c r="S35" s="70" t="n"/>
      <c r="T35" s="70" t="n"/>
      <c r="U35" s="16" t="n"/>
      <c r="X35" s="17" t="n"/>
      <c r="Y35" s="3">
        <f>V35-W35</f>
        <v/>
      </c>
      <c r="Z35" s="3">
        <f>Y35*X35</f>
        <v/>
      </c>
      <c r="AA35" s="5">
        <f>4416/X35</f>
        <v/>
      </c>
      <c r="AB35" s="5">
        <f>-100+(100*AA35/Y35)</f>
        <v/>
      </c>
    </row>
    <row r="36">
      <c r="A36" s="71" t="n"/>
      <c r="C36" s="71" t="n"/>
      <c r="D36" s="71" t="n"/>
      <c r="E36" s="71" t="n"/>
      <c r="F36" s="71" t="n"/>
      <c r="G36" s="71" t="n"/>
      <c r="H36" s="71" t="n"/>
      <c r="I36" s="71" t="n"/>
      <c r="J36" s="71" t="n"/>
      <c r="K36" s="71" t="n"/>
      <c r="L36" s="71" t="n"/>
      <c r="M36" s="71" t="n"/>
      <c r="N36" s="71" t="n"/>
      <c r="O36" s="71" t="n"/>
      <c r="P36" s="71" t="n"/>
      <c r="Q36" s="71" t="n"/>
      <c r="R36" s="71" t="n"/>
      <c r="S36" s="71" t="n"/>
      <c r="T36" s="71" t="n"/>
      <c r="U36" s="18" t="n"/>
      <c r="V36" s="19" t="n"/>
      <c r="W36" s="19" t="n"/>
      <c r="X36" s="20" t="n"/>
      <c r="Y36" s="3">
        <f>V36-W36</f>
        <v/>
      </c>
      <c r="Z36" s="3">
        <f>Y36*X36</f>
        <v/>
      </c>
      <c r="AA36" s="5">
        <f>4416/X36</f>
        <v/>
      </c>
      <c r="AB36" s="5">
        <f>-100+(100*AA36/Y36)</f>
        <v/>
      </c>
    </row>
    <row r="37" ht="15" customHeight="1">
      <c r="A37" s="49" t="n">
        <v>12</v>
      </c>
      <c r="C37" s="50" t="n">
        <v>0.9222222222222223</v>
      </c>
      <c r="D37" s="40" t="inlineStr">
        <is>
          <t>sound wav ~2min</t>
        </is>
      </c>
      <c r="E37" s="33" t="inlineStr">
        <is>
          <t>124/86/87</t>
        </is>
      </c>
      <c r="F37" s="40" t="inlineStr">
        <is>
          <t>ekg pdf ~30sec</t>
        </is>
      </c>
      <c r="G37" s="52" t="n">
        <v>17.2</v>
      </c>
      <c r="H37" s="48" t="n">
        <v>0.9</v>
      </c>
      <c r="I37" s="40" t="n">
        <v>1010</v>
      </c>
      <c r="J37" s="40" t="n">
        <v>36.6</v>
      </c>
      <c r="K37" s="48" t="n">
        <v>0.97</v>
      </c>
      <c r="L37" s="40" t="n">
        <v>87</v>
      </c>
      <c r="M37" s="47" t="inlineStr">
        <is>
          <t>113/75/82  SpO2 97% synus rhythm</t>
        </is>
      </c>
      <c r="N37" s="40" t="inlineStr">
        <is>
          <t>low stress</t>
        </is>
      </c>
      <c r="O37" s="73" t="n"/>
      <c r="P37" s="49" t="inlineStr">
        <is>
          <t>after 1 min smoking</t>
        </is>
      </c>
      <c r="Q37" s="49" t="n">
        <v>1</v>
      </c>
      <c r="R37" s="49" t="n">
        <v>3</v>
      </c>
      <c r="S37" s="49" t="n">
        <v>3</v>
      </c>
      <c r="T37" s="49" t="inlineStr">
        <is>
          <t>rain</t>
        </is>
      </c>
      <c r="U37" s="13" t="n"/>
      <c r="V37" s="14" t="n">
        <v>124</v>
      </c>
      <c r="W37" s="14" t="n">
        <v>86</v>
      </c>
      <c r="X37" s="15" t="n">
        <v>87</v>
      </c>
      <c r="Y37" s="3">
        <f>V37-W37</f>
        <v/>
      </c>
      <c r="Z37" s="3">
        <f>Y37*X37</f>
        <v/>
      </c>
      <c r="AA37" s="5">
        <f>4416/X37</f>
        <v/>
      </c>
      <c r="AB37" s="5">
        <f>-100+(100*AA37/Y37)</f>
        <v/>
      </c>
    </row>
    <row r="38">
      <c r="A38" s="70" t="n"/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0" t="n"/>
      <c r="T38" s="70" t="n"/>
      <c r="U38" s="16" t="n"/>
      <c r="X38" s="17" t="n"/>
      <c r="Y38" s="3">
        <f>V38-W38</f>
        <v/>
      </c>
      <c r="Z38" s="3">
        <f>Y38*X38</f>
        <v/>
      </c>
      <c r="AA38" s="5">
        <f>4416/X38</f>
        <v/>
      </c>
      <c r="AB38" s="5">
        <f>-100+(100*AA38/Y38)</f>
        <v/>
      </c>
    </row>
    <row r="39">
      <c r="A39" s="71" t="n"/>
      <c r="C39" s="71" t="n"/>
      <c r="D39" s="71" t="n"/>
      <c r="E39" s="71" t="n"/>
      <c r="F39" s="71" t="n"/>
      <c r="G39" s="71" t="n"/>
      <c r="H39" s="71" t="n"/>
      <c r="I39" s="71" t="n"/>
      <c r="J39" s="71" t="n"/>
      <c r="K39" s="71" t="n"/>
      <c r="L39" s="71" t="n"/>
      <c r="M39" s="71" t="n"/>
      <c r="N39" s="71" t="n"/>
      <c r="O39" s="71" t="n"/>
      <c r="P39" s="71" t="n"/>
      <c r="Q39" s="71" t="n"/>
      <c r="R39" s="71" t="n"/>
      <c r="S39" s="71" t="n"/>
      <c r="T39" s="71" t="n"/>
      <c r="U39" s="18" t="n"/>
      <c r="V39" s="19" t="n"/>
      <c r="W39" s="19" t="n"/>
      <c r="X39" s="20" t="n"/>
      <c r="Y39" s="3">
        <f>V39-W39</f>
        <v/>
      </c>
      <c r="Z39" s="3">
        <f>Y39*X39</f>
        <v/>
      </c>
      <c r="AA39" s="5">
        <f>4416/X39</f>
        <v/>
      </c>
      <c r="AB39" s="5">
        <f>-100+(100*AA39/Y39)</f>
        <v/>
      </c>
    </row>
    <row r="40" ht="34.5" customHeight="1">
      <c r="A40" s="49" t="n">
        <v>13</v>
      </c>
      <c r="B40" s="1" t="inlineStr">
        <is>
          <t>8:05 h sleep / sleep score 54 (REM 28% light 57% deep 5% awake 10%)</t>
        </is>
      </c>
      <c r="C40" s="50" t="n">
        <v>0.3416666666666667</v>
      </c>
      <c r="D40" s="40" t="inlineStr">
        <is>
          <t>sound wav ~2min</t>
        </is>
      </c>
      <c r="E40" s="33" t="inlineStr">
        <is>
          <t>137/88/90</t>
        </is>
      </c>
      <c r="F40" s="40" t="inlineStr">
        <is>
          <t>ekg pdf ~30sec</t>
        </is>
      </c>
      <c r="G40" s="52" t="n">
        <v>15.7</v>
      </c>
      <c r="H40" s="48" t="n">
        <v>0.91</v>
      </c>
      <c r="I40" s="40" t="n">
        <v>1011</v>
      </c>
      <c r="J40" s="40" t="n">
        <v>36.9</v>
      </c>
      <c r="K40" s="48" t="n">
        <v>0.99</v>
      </c>
      <c r="L40" s="40" t="n">
        <v>89</v>
      </c>
      <c r="M40" s="47" t="inlineStr">
        <is>
          <t>113/74/86  SpO2 98% synus rhythm</t>
        </is>
      </c>
      <c r="N40" s="40" t="inlineStr">
        <is>
          <t>low stress</t>
        </is>
      </c>
      <c r="O40" s="73" t="n"/>
      <c r="P40" s="49" t="inlineStr">
        <is>
          <t>after 5 min smoking</t>
        </is>
      </c>
      <c r="Q40" s="49" t="n">
        <v>6</v>
      </c>
      <c r="R40" s="49" t="n">
        <v>11</v>
      </c>
      <c r="S40" s="49" t="n">
        <v>15</v>
      </c>
      <c r="T40" s="49" t="inlineStr">
        <is>
          <t>rain</t>
        </is>
      </c>
      <c r="U40" s="13" t="inlineStr">
        <is>
          <t>wake up at 7:00</t>
        </is>
      </c>
      <c r="V40" s="14" t="n">
        <v>137</v>
      </c>
      <c r="W40" s="14" t="n">
        <v>88</v>
      </c>
      <c r="X40" s="15" t="n">
        <v>90</v>
      </c>
      <c r="Y40" s="3">
        <f>V40-W40</f>
        <v/>
      </c>
      <c r="Z40" s="23">
        <f>Y40*X40</f>
        <v/>
      </c>
      <c r="AA40" s="5">
        <f>4416/X40</f>
        <v/>
      </c>
      <c r="AB40" s="5">
        <f>-100+(100*AA40/Y40)</f>
        <v/>
      </c>
    </row>
    <row r="41" ht="30" customHeight="1">
      <c r="A41" s="70" t="n"/>
      <c r="B41" s="4" t="inlineStr">
        <is>
          <t>21 iul 2021</t>
        </is>
      </c>
      <c r="C41" s="70" t="n"/>
      <c r="D41" s="70" t="n"/>
      <c r="E41" s="70" t="n"/>
      <c r="F41" s="70" t="n"/>
      <c r="G41" s="70" t="n"/>
      <c r="H41" s="70" t="n"/>
      <c r="I41" s="70" t="n"/>
      <c r="J41" s="70" t="n"/>
      <c r="K41" s="70" t="n"/>
      <c r="L41" s="70" t="n"/>
      <c r="M41" s="70" t="n"/>
      <c r="N41" s="70" t="n"/>
      <c r="O41" s="70" t="n"/>
      <c r="P41" s="70" t="n"/>
      <c r="Q41" s="70" t="n"/>
      <c r="R41" s="70" t="n"/>
      <c r="S41" s="70" t="n"/>
      <c r="T41" s="70" t="n"/>
      <c r="U41" s="16" t="inlineStr">
        <is>
          <t>no pills today</t>
        </is>
      </c>
      <c r="X41" s="17" t="n"/>
      <c r="Y41" s="3">
        <f>V41-W41</f>
        <v/>
      </c>
      <c r="Z41" s="3">
        <f>Y41*X41</f>
        <v/>
      </c>
      <c r="AA41" s="5">
        <f>4416/X41</f>
        <v/>
      </c>
      <c r="AB41" s="5">
        <f>-100+(100*AA41/Y41)</f>
        <v/>
      </c>
    </row>
    <row r="42">
      <c r="A42" s="71" t="n"/>
      <c r="B42" s="1" t="inlineStr">
        <is>
          <t>total 9800 steps</t>
        </is>
      </c>
      <c r="C42" s="71" t="n"/>
      <c r="D42" s="71" t="n"/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1" t="n"/>
      <c r="O42" s="71" t="n"/>
      <c r="P42" s="71" t="n"/>
      <c r="Q42" s="71" t="n"/>
      <c r="R42" s="71" t="n"/>
      <c r="S42" s="71" t="n"/>
      <c r="T42" s="71" t="n"/>
      <c r="U42" s="18" t="n"/>
      <c r="V42" s="19" t="n"/>
      <c r="W42" s="19" t="n"/>
      <c r="X42" s="20" t="n"/>
      <c r="Y42" s="3">
        <f>V42-W42</f>
        <v/>
      </c>
      <c r="Z42" s="3">
        <f>Y42*X42</f>
        <v/>
      </c>
      <c r="AA42" s="5">
        <f>4416/X42</f>
        <v/>
      </c>
      <c r="AB42" s="5">
        <f>-100+(100*AA42/Y42)</f>
        <v/>
      </c>
    </row>
    <row r="43">
      <c r="A43" s="49" t="n">
        <v>14</v>
      </c>
      <c r="C43" s="50" t="n">
        <v>0.3541666666666667</v>
      </c>
      <c r="D43" s="40" t="inlineStr">
        <is>
          <t>sound wav ~2min</t>
        </is>
      </c>
      <c r="E43" s="33" t="inlineStr">
        <is>
          <t>133/90/83</t>
        </is>
      </c>
      <c r="F43" s="40" t="inlineStr">
        <is>
          <t>ekg pdf ~30sec</t>
        </is>
      </c>
      <c r="G43" s="52" t="n">
        <v>15.9</v>
      </c>
      <c r="H43" s="48" t="n">
        <v>0.92</v>
      </c>
      <c r="I43" s="40" t="n">
        <v>1011</v>
      </c>
      <c r="J43" s="40" t="n">
        <v>36.6</v>
      </c>
      <c r="K43" s="48" t="n">
        <v>0.99</v>
      </c>
      <c r="L43" s="40" t="n">
        <v>89</v>
      </c>
      <c r="M43" s="47" t="inlineStr">
        <is>
          <t>114/75/86  SpO2 97% synus rhythm</t>
        </is>
      </c>
      <c r="N43" s="40" t="inlineStr">
        <is>
          <t>low stress</t>
        </is>
      </c>
      <c r="O43" s="73" t="n"/>
      <c r="P43" s="49" t="inlineStr">
        <is>
          <t>after 5 min smoking</t>
        </is>
      </c>
      <c r="Q43" s="49" t="n">
        <v>5</v>
      </c>
      <c r="R43" s="49" t="n">
        <v>8</v>
      </c>
      <c r="S43" s="49" t="n">
        <v>10</v>
      </c>
      <c r="T43" s="49" t="inlineStr">
        <is>
          <t>cloudy</t>
        </is>
      </c>
      <c r="U43" s="13" t="n"/>
      <c r="V43" s="14" t="n">
        <v>133</v>
      </c>
      <c r="W43" s="14" t="n">
        <v>90</v>
      </c>
      <c r="X43" s="15" t="n">
        <v>83</v>
      </c>
      <c r="Y43" s="3">
        <f>V43-W43</f>
        <v/>
      </c>
      <c r="Z43" s="3">
        <f>Y43*X43</f>
        <v/>
      </c>
      <c r="AA43" s="5">
        <f>4416/X43</f>
        <v/>
      </c>
      <c r="AB43" s="5">
        <f>-100+(100*AA43/Y43)</f>
        <v/>
      </c>
    </row>
    <row r="44">
      <c r="A44" s="70" t="n"/>
      <c r="C44" s="70" t="n"/>
      <c r="D44" s="70" t="n"/>
      <c r="E44" s="70" t="n"/>
      <c r="F44" s="70" t="n"/>
      <c r="G44" s="70" t="n"/>
      <c r="H44" s="70" t="n"/>
      <c r="I44" s="70" t="n"/>
      <c r="J44" s="70" t="n"/>
      <c r="K44" s="70" t="n"/>
      <c r="L44" s="70" t="n"/>
      <c r="M44" s="70" t="n"/>
      <c r="N44" s="70" t="n"/>
      <c r="O44" s="70" t="n"/>
      <c r="P44" s="70" t="n"/>
      <c r="Q44" s="70" t="n"/>
      <c r="R44" s="70" t="n"/>
      <c r="S44" s="70" t="n"/>
      <c r="T44" s="70" t="n"/>
      <c r="U44" s="16" t="n"/>
      <c r="X44" s="17" t="n"/>
      <c r="Y44" s="3">
        <f>V44-W44</f>
        <v/>
      </c>
      <c r="Z44" s="3">
        <f>Y44*X44</f>
        <v/>
      </c>
      <c r="AA44" s="5">
        <f>4416/X44</f>
        <v/>
      </c>
      <c r="AB44" s="5">
        <f>-100+(100*AA44/Y44)</f>
        <v/>
      </c>
    </row>
    <row r="45">
      <c r="A45" s="71" t="n"/>
      <c r="C45" s="71" t="n"/>
      <c r="D45" s="71" t="n"/>
      <c r="E45" s="71" t="n"/>
      <c r="F45" s="71" t="n"/>
      <c r="G45" s="71" t="n"/>
      <c r="H45" s="71" t="n"/>
      <c r="I45" s="71" t="n"/>
      <c r="J45" s="71" t="n"/>
      <c r="K45" s="71" t="n"/>
      <c r="L45" s="71" t="n"/>
      <c r="M45" s="71" t="n"/>
      <c r="N45" s="71" t="n"/>
      <c r="O45" s="71" t="n"/>
      <c r="P45" s="71" t="n"/>
      <c r="Q45" s="71" t="n"/>
      <c r="R45" s="71" t="n"/>
      <c r="S45" s="71" t="n"/>
      <c r="T45" s="71" t="n"/>
      <c r="U45" s="18" t="n"/>
      <c r="V45" s="19" t="n"/>
      <c r="W45" s="19" t="n"/>
      <c r="X45" s="20" t="n"/>
      <c r="Y45" s="3">
        <f>V45-W45</f>
        <v/>
      </c>
      <c r="Z45" s="3">
        <f>Y45*X45</f>
        <v/>
      </c>
      <c r="AA45" s="5">
        <f>4416/X45</f>
        <v/>
      </c>
      <c r="AB45" s="5">
        <f>-100+(100*AA45/Y45)</f>
        <v/>
      </c>
    </row>
    <row r="46" ht="15" customHeight="1">
      <c r="A46" s="49" t="n">
        <v>15</v>
      </c>
      <c r="C46" s="50" t="n">
        <v>0.5854166666666667</v>
      </c>
      <c r="D46" s="40" t="inlineStr">
        <is>
          <t>sound wav ~2min</t>
        </is>
      </c>
      <c r="E46" s="33" t="inlineStr">
        <is>
          <t>119/79/92</t>
        </is>
      </c>
      <c r="F46" s="40" t="inlineStr">
        <is>
          <t>ekg pdf ~30sec</t>
        </is>
      </c>
      <c r="G46" s="52" t="n">
        <v>19.3</v>
      </c>
      <c r="H46" s="48" t="n">
        <v>0.74</v>
      </c>
      <c r="I46" s="40" t="n">
        <v>1012</v>
      </c>
      <c r="J46" s="40" t="n">
        <v>36.3</v>
      </c>
      <c r="K46" s="48" t="n">
        <v>0.97</v>
      </c>
      <c r="L46" s="40" t="n">
        <v>92</v>
      </c>
      <c r="M46" s="47" t="inlineStr">
        <is>
          <t>117/78/94  SpO2 95% synus rhythm</t>
        </is>
      </c>
      <c r="N46" s="40" t="inlineStr">
        <is>
          <t>medium stress</t>
        </is>
      </c>
      <c r="O46" s="73" t="n"/>
      <c r="P46" s="49" t="inlineStr">
        <is>
          <t>after lunch &amp; office activities</t>
        </is>
      </c>
      <c r="Q46" s="49" t="n">
        <v>30</v>
      </c>
      <c r="R46" s="49" t="n">
        <v>42</v>
      </c>
      <c r="S46" s="49" t="n">
        <v>54</v>
      </c>
      <c r="T46" s="49" t="inlineStr">
        <is>
          <t>cloudy</t>
        </is>
      </c>
      <c r="U46" s="13" t="n"/>
      <c r="V46" s="14" t="n">
        <v>119</v>
      </c>
      <c r="W46" s="14" t="n">
        <v>79</v>
      </c>
      <c r="X46" s="15" t="n">
        <v>92</v>
      </c>
      <c r="Y46" s="3">
        <f>V46-W46</f>
        <v/>
      </c>
      <c r="Z46" s="3">
        <f>Y46*X46</f>
        <v/>
      </c>
      <c r="AA46" s="5">
        <f>4416/X46</f>
        <v/>
      </c>
      <c r="AB46" s="5">
        <f>-100+(100*AA46/Y46)</f>
        <v/>
      </c>
    </row>
    <row r="47">
      <c r="A47" s="70" t="n"/>
      <c r="B47" s="3" t="inlineStr">
        <is>
          <t>plus 5500 steps</t>
        </is>
      </c>
      <c r="C47" s="70" t="n"/>
      <c r="D47" s="70" t="n"/>
      <c r="E47" s="70" t="n"/>
      <c r="F47" s="70" t="n"/>
      <c r="G47" s="70" t="n"/>
      <c r="H47" s="70" t="n"/>
      <c r="I47" s="70" t="n"/>
      <c r="J47" s="70" t="n"/>
      <c r="K47" s="70" t="n"/>
      <c r="L47" s="70" t="n"/>
      <c r="M47" s="70" t="n"/>
      <c r="N47" s="70" t="n"/>
      <c r="O47" s="70" t="n"/>
      <c r="P47" s="70" t="n"/>
      <c r="Q47" s="70" t="n"/>
      <c r="R47" s="70" t="n"/>
      <c r="S47" s="70" t="n"/>
      <c r="T47" s="70" t="n"/>
      <c r="U47" s="16" t="n"/>
      <c r="X47" s="17" t="n"/>
      <c r="Y47" s="3">
        <f>V47-W47</f>
        <v/>
      </c>
      <c r="Z47" s="3">
        <f>Y47*X47</f>
        <v/>
      </c>
      <c r="AA47" s="5">
        <f>4416/X47</f>
        <v/>
      </c>
      <c r="AB47" s="5">
        <f>-100+(100*AA47/Y47)</f>
        <v/>
      </c>
    </row>
    <row r="48">
      <c r="A48" s="71" t="n"/>
      <c r="C48" s="71" t="n"/>
      <c r="D48" s="71" t="n"/>
      <c r="E48" s="71" t="n"/>
      <c r="F48" s="71" t="n"/>
      <c r="G48" s="71" t="n"/>
      <c r="H48" s="71" t="n"/>
      <c r="I48" s="71" t="n"/>
      <c r="J48" s="71" t="n"/>
      <c r="K48" s="71" t="n"/>
      <c r="L48" s="71" t="n"/>
      <c r="M48" s="71" t="n"/>
      <c r="N48" s="71" t="n"/>
      <c r="O48" s="71" t="n"/>
      <c r="P48" s="71" t="n"/>
      <c r="Q48" s="71" t="n"/>
      <c r="R48" s="71" t="n"/>
      <c r="S48" s="71" t="n"/>
      <c r="T48" s="71" t="n"/>
      <c r="U48" s="18" t="n"/>
      <c r="V48" s="19" t="n"/>
      <c r="W48" s="19" t="n"/>
      <c r="X48" s="20" t="n"/>
      <c r="Y48" s="3">
        <f>V48-W48</f>
        <v/>
      </c>
      <c r="Z48" s="3">
        <f>Y48*X48</f>
        <v/>
      </c>
      <c r="AA48" s="5">
        <f>4416/X48</f>
        <v/>
      </c>
      <c r="AB48" s="5">
        <f>-100+(100*AA48/Y48)</f>
        <v/>
      </c>
    </row>
    <row r="49" ht="23.25" customHeight="1">
      <c r="A49" s="49" t="n">
        <v>16</v>
      </c>
      <c r="B49" s="6" t="inlineStr">
        <is>
          <t>recalibration of the wacth 3 / 3 measurements</t>
        </is>
      </c>
      <c r="C49" s="50" t="n">
        <v>0.8541666666666666</v>
      </c>
      <c r="D49" s="40" t="inlineStr">
        <is>
          <t>sound wav ~2min</t>
        </is>
      </c>
      <c r="E49" s="33" t="inlineStr">
        <is>
          <t>141/91/89</t>
        </is>
      </c>
      <c r="F49" s="40" t="inlineStr">
        <is>
          <t>ekg pdf ~30sec</t>
        </is>
      </c>
      <c r="G49" s="52" t="n">
        <v>15.1</v>
      </c>
      <c r="H49" s="48" t="n">
        <v>0.9</v>
      </c>
      <c r="I49" s="40" t="n">
        <v>1014</v>
      </c>
      <c r="J49" s="40" t="n">
        <v>36.4</v>
      </c>
      <c r="K49" s="48" t="n">
        <v>0.97</v>
      </c>
      <c r="L49" s="40" t="n">
        <v>91</v>
      </c>
      <c r="M49" s="61" t="inlineStr">
        <is>
          <t>126/80/92  SpO2 97% synus rhythm</t>
        </is>
      </c>
      <c r="N49" s="40" t="inlineStr">
        <is>
          <t>low stress</t>
        </is>
      </c>
      <c r="O49" s="73" t="n"/>
      <c r="P49" s="49" t="inlineStr">
        <is>
          <t>after 5 min smoking</t>
        </is>
      </c>
      <c r="Q49" s="49" t="n">
        <v>2</v>
      </c>
      <c r="R49" s="49" t="n">
        <v>5</v>
      </c>
      <c r="S49" s="49" t="n">
        <v>7</v>
      </c>
      <c r="T49" s="49" t="inlineStr">
        <is>
          <t>cloudy</t>
        </is>
      </c>
      <c r="U49" s="13" t="n"/>
      <c r="V49" s="14" t="n">
        <v>141</v>
      </c>
      <c r="W49" s="14" t="n">
        <v>91</v>
      </c>
      <c r="X49" s="15" t="n">
        <v>89</v>
      </c>
      <c r="Y49" s="3">
        <f>V49-W49</f>
        <v/>
      </c>
      <c r="Z49" s="3">
        <f>Y49*X49</f>
        <v/>
      </c>
      <c r="AA49" s="5">
        <f>4416/X49</f>
        <v/>
      </c>
      <c r="AB49" s="5">
        <f>-100+(100*AA49/Y49)</f>
        <v/>
      </c>
    </row>
    <row r="50">
      <c r="A50" s="70" t="n"/>
      <c r="B50" s="3" t="inlineStr">
        <is>
          <t>plus 4300 steps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16" t="n"/>
      <c r="X50" s="17" t="n"/>
      <c r="Y50" s="3">
        <f>V50-W50</f>
        <v/>
      </c>
      <c r="Z50" s="3">
        <f>Y50*X50</f>
        <v/>
      </c>
      <c r="AA50" s="5">
        <f>4416/X50</f>
        <v/>
      </c>
      <c r="AB50" s="5">
        <f>-100+(100*AA50/Y50)</f>
        <v/>
      </c>
    </row>
    <row r="51" ht="27" customHeight="1">
      <c r="A51" s="71" t="n"/>
      <c r="C51" s="71" t="n"/>
      <c r="D51" s="71" t="n"/>
      <c r="E51" s="71" t="n"/>
      <c r="F51" s="71" t="n"/>
      <c r="G51" s="71" t="n"/>
      <c r="H51" s="71" t="n"/>
      <c r="I51" s="71" t="n"/>
      <c r="J51" s="71" t="n"/>
      <c r="K51" s="71" t="n"/>
      <c r="L51" s="71" t="n"/>
      <c r="M51" s="71" t="n"/>
      <c r="N51" s="71" t="n"/>
      <c r="O51" s="71" t="n"/>
      <c r="P51" s="71" t="n"/>
      <c r="Q51" s="71" t="n"/>
      <c r="R51" s="71" t="n"/>
      <c r="S51" s="71" t="n"/>
      <c r="T51" s="71" t="n"/>
      <c r="U51" s="18" t="n"/>
      <c r="V51" s="19" t="n"/>
      <c r="W51" s="19" t="n"/>
      <c r="X51" s="20" t="n"/>
      <c r="Y51" s="3">
        <f>V51-W51</f>
        <v/>
      </c>
      <c r="Z51" s="3">
        <f>Y51*X51</f>
        <v/>
      </c>
      <c r="AA51" s="5">
        <f>4416/X51</f>
        <v/>
      </c>
      <c r="AB51" s="5">
        <f>-100+(100*AA51/Y51)</f>
        <v/>
      </c>
    </row>
    <row r="52" ht="34.5" customHeight="1">
      <c r="A52" s="49" t="n">
        <v>17</v>
      </c>
      <c r="B52" s="1" t="inlineStr">
        <is>
          <t>9:22 h sleep / sleep score 68 (REM 22% light 66% deep 4% awake 8%)</t>
        </is>
      </c>
      <c r="C52" s="50" t="n">
        <v>0.3715277777777778</v>
      </c>
      <c r="D52" s="40" t="inlineStr">
        <is>
          <t>sound wav ~2min</t>
        </is>
      </c>
      <c r="E52" s="33" t="inlineStr">
        <is>
          <t>123/83/93</t>
        </is>
      </c>
      <c r="F52" s="40" t="inlineStr">
        <is>
          <t>ekg pdf ~30sec</t>
        </is>
      </c>
      <c r="G52" s="52" t="n">
        <v>15.5</v>
      </c>
      <c r="H52" s="48" t="n">
        <v>0.9399999999999999</v>
      </c>
      <c r="I52" s="40" t="n">
        <v>1015</v>
      </c>
      <c r="J52" s="40" t="n">
        <v>36.7</v>
      </c>
      <c r="K52" s="48" t="n">
        <v>0.96</v>
      </c>
      <c r="L52" s="40" t="n">
        <v>97</v>
      </c>
      <c r="M52" s="75" t="inlineStr">
        <is>
          <t>126/80/97  SpO2 96% synus rhythm</t>
        </is>
      </c>
      <c r="N52" s="40" t="inlineStr">
        <is>
          <t>medium stress</t>
        </is>
      </c>
      <c r="O52" s="73" t="n"/>
      <c r="P52" s="49" t="inlineStr">
        <is>
          <t>after 5 min smoking &amp; coffee</t>
        </is>
      </c>
      <c r="Q52" s="49" t="n">
        <v>4</v>
      </c>
      <c r="R52" s="49" t="n">
        <v>6</v>
      </c>
      <c r="S52" s="49" t="n">
        <v>9</v>
      </c>
      <c r="T52" s="49" t="inlineStr">
        <is>
          <t>sunny</t>
        </is>
      </c>
      <c r="U52" s="13" t="inlineStr">
        <is>
          <t>wake up at 7:30</t>
        </is>
      </c>
      <c r="V52" s="14" t="n">
        <v>123</v>
      </c>
      <c r="W52" s="14" t="n">
        <v>83</v>
      </c>
      <c r="X52" s="15" t="n">
        <v>93</v>
      </c>
      <c r="Y52" s="3">
        <f>V52-W52</f>
        <v/>
      </c>
      <c r="Z52" s="3">
        <f>Y52*X52</f>
        <v/>
      </c>
      <c r="AA52" s="5">
        <f>4416/X52</f>
        <v/>
      </c>
      <c r="AB52" s="5">
        <f>-100+(100*AA52/Y52)</f>
        <v/>
      </c>
    </row>
    <row r="53" ht="30" customHeight="1">
      <c r="A53" s="70" t="n"/>
      <c r="B53" s="4" t="inlineStr">
        <is>
          <t>22 iul 2021</t>
        </is>
      </c>
      <c r="C53" s="70" t="n"/>
      <c r="D53" s="70" t="n"/>
      <c r="E53" s="70" t="n"/>
      <c r="F53" s="70" t="n"/>
      <c r="G53" s="70" t="n"/>
      <c r="H53" s="70" t="n"/>
      <c r="I53" s="70" t="n"/>
      <c r="J53" s="70" t="n"/>
      <c r="K53" s="70" t="n"/>
      <c r="L53" s="70" t="n"/>
      <c r="M53" s="70" t="n"/>
      <c r="N53" s="70" t="n"/>
      <c r="O53" s="70" t="n"/>
      <c r="P53" s="70" t="n"/>
      <c r="Q53" s="70" t="n"/>
      <c r="R53" s="70" t="n"/>
      <c r="S53" s="70" t="n"/>
      <c r="T53" s="70" t="n"/>
      <c r="U53" s="16" t="inlineStr">
        <is>
          <t>no pills today</t>
        </is>
      </c>
      <c r="X53" s="17" t="n"/>
      <c r="Y53" s="3">
        <f>V53-W53</f>
        <v/>
      </c>
      <c r="Z53" s="3">
        <f>Y53*X53</f>
        <v/>
      </c>
      <c r="AA53" s="5">
        <f>4416/X53</f>
        <v/>
      </c>
      <c r="AB53" s="5">
        <f>-100+(100*AA53/Y53)</f>
        <v/>
      </c>
    </row>
    <row r="54">
      <c r="A54" s="71" t="n"/>
      <c r="B54" s="1" t="inlineStr">
        <is>
          <t>total 11800 steps</t>
        </is>
      </c>
      <c r="C54" s="71" t="n"/>
      <c r="D54" s="71" t="n"/>
      <c r="E54" s="71" t="n"/>
      <c r="F54" s="71" t="n"/>
      <c r="G54" s="71" t="n"/>
      <c r="H54" s="71" t="n"/>
      <c r="I54" s="71" t="n"/>
      <c r="J54" s="71" t="n"/>
      <c r="K54" s="71" t="n"/>
      <c r="L54" s="71" t="n"/>
      <c r="M54" s="71" t="n"/>
      <c r="N54" s="71" t="n"/>
      <c r="O54" s="71" t="n"/>
      <c r="P54" s="71" t="n"/>
      <c r="Q54" s="71" t="n"/>
      <c r="R54" s="71" t="n"/>
      <c r="S54" s="71" t="n"/>
      <c r="T54" s="71" t="n"/>
      <c r="U54" s="18" t="n"/>
      <c r="V54" s="19" t="n"/>
      <c r="W54" s="19" t="n"/>
      <c r="X54" s="20" t="n"/>
      <c r="Y54" s="3">
        <f>V54-W54</f>
        <v/>
      </c>
      <c r="Z54" s="3">
        <f>Y54*X54</f>
        <v/>
      </c>
      <c r="AA54" s="5">
        <f>4416/X54</f>
        <v/>
      </c>
      <c r="AB54" s="5">
        <f>-100+(100*AA54/Y54)</f>
        <v/>
      </c>
    </row>
    <row r="55" ht="15" customHeight="1">
      <c r="A55" s="49" t="n">
        <v>18</v>
      </c>
      <c r="C55" s="50" t="n">
        <v>0.6534722222222222</v>
      </c>
      <c r="D55" s="40" t="inlineStr">
        <is>
          <t>sound wav ~2min</t>
        </is>
      </c>
      <c r="E55" s="33" t="inlineStr">
        <is>
          <t>128/80/103</t>
        </is>
      </c>
      <c r="F55" s="40" t="inlineStr">
        <is>
          <t>ekg pdf ~30sec</t>
        </is>
      </c>
      <c r="G55" s="52" t="n">
        <v>20.3</v>
      </c>
      <c r="H55" s="48" t="n">
        <v>0.7</v>
      </c>
      <c r="I55" s="40" t="n">
        <v>1015</v>
      </c>
      <c r="J55" s="40" t="n">
        <v>36.5</v>
      </c>
      <c r="K55" s="48" t="n">
        <v>0.96</v>
      </c>
      <c r="L55" s="40" t="n">
        <v>101</v>
      </c>
      <c r="M55" s="75" t="inlineStr">
        <is>
          <t>128/84/103  SpO2 95% synus rhythm</t>
        </is>
      </c>
      <c r="N55" s="40" t="inlineStr">
        <is>
          <t>high stress</t>
        </is>
      </c>
      <c r="O55" s="73" t="n"/>
      <c r="P55" s="49" t="inlineStr">
        <is>
          <t>after lunch &amp; office activities</t>
        </is>
      </c>
      <c r="Q55" s="49" t="n">
        <v>5</v>
      </c>
      <c r="R55" s="49" t="n">
        <v>8</v>
      </c>
      <c r="S55" s="49" t="n">
        <v>11</v>
      </c>
      <c r="T55" s="49" t="inlineStr">
        <is>
          <t>sunny</t>
        </is>
      </c>
      <c r="U55" s="13" t="n"/>
      <c r="V55" s="14" t="n">
        <v>128</v>
      </c>
      <c r="W55" s="14" t="n">
        <v>80</v>
      </c>
      <c r="X55" s="15" t="n">
        <v>103</v>
      </c>
      <c r="Y55" s="3">
        <f>V55-W55</f>
        <v/>
      </c>
      <c r="Z55" s="3">
        <f>Y55*X55</f>
        <v/>
      </c>
      <c r="AA55" s="5">
        <f>4416/X55</f>
        <v/>
      </c>
      <c r="AB55" s="5">
        <f>-100+(100*AA55/Y55)</f>
        <v/>
      </c>
    </row>
    <row r="56">
      <c r="A56" s="70" t="n"/>
      <c r="B56" s="3" t="inlineStr">
        <is>
          <t>plus 7000 steps</t>
        </is>
      </c>
      <c r="C56" s="70" t="n"/>
      <c r="D56" s="70" t="n"/>
      <c r="E56" s="70" t="n"/>
      <c r="F56" s="70" t="n"/>
      <c r="G56" s="70" t="n"/>
      <c r="H56" s="70" t="n"/>
      <c r="I56" s="70" t="n"/>
      <c r="J56" s="70" t="n"/>
      <c r="K56" s="70" t="n"/>
      <c r="L56" s="70" t="n"/>
      <c r="M56" s="70" t="n"/>
      <c r="N56" s="70" t="n"/>
      <c r="O56" s="70" t="n"/>
      <c r="P56" s="70" t="n"/>
      <c r="Q56" s="70" t="n"/>
      <c r="R56" s="70" t="n"/>
      <c r="S56" s="70" t="n"/>
      <c r="T56" s="70" t="n"/>
      <c r="U56" s="16" t="n"/>
      <c r="X56" s="17" t="n"/>
      <c r="Y56" s="3">
        <f>V56-W56</f>
        <v/>
      </c>
      <c r="Z56" s="3">
        <f>Y56*X56</f>
        <v/>
      </c>
      <c r="AA56" s="5">
        <f>4416/X56</f>
        <v/>
      </c>
      <c r="AB56" s="5">
        <f>-100+(100*AA56/Y56)</f>
        <v/>
      </c>
    </row>
    <row r="57">
      <c r="A57" s="71" t="n"/>
      <c r="C57" s="71" t="n"/>
      <c r="D57" s="71" t="n"/>
      <c r="E57" s="71" t="n"/>
      <c r="F57" s="71" t="n"/>
      <c r="G57" s="71" t="n"/>
      <c r="H57" s="71" t="n"/>
      <c r="I57" s="71" t="n"/>
      <c r="J57" s="71" t="n"/>
      <c r="K57" s="71" t="n"/>
      <c r="L57" s="71" t="n"/>
      <c r="M57" s="71" t="n"/>
      <c r="N57" s="71" t="n"/>
      <c r="O57" s="71" t="n"/>
      <c r="P57" s="71" t="n"/>
      <c r="Q57" s="71" t="n"/>
      <c r="R57" s="71" t="n"/>
      <c r="S57" s="71" t="n"/>
      <c r="T57" s="71" t="n"/>
      <c r="U57" s="18" t="n"/>
      <c r="V57" s="19" t="n"/>
      <c r="W57" s="19" t="n"/>
      <c r="X57" s="20" t="n"/>
      <c r="Y57" s="3">
        <f>V57-W57</f>
        <v/>
      </c>
      <c r="Z57" s="3">
        <f>Y57*X57</f>
        <v/>
      </c>
      <c r="AA57" s="5">
        <f>4416/X57</f>
        <v/>
      </c>
      <c r="AB57" s="5">
        <f>-100+(100*AA57/Y57)</f>
        <v/>
      </c>
    </row>
    <row r="58" ht="15" customHeight="1">
      <c r="A58" s="49" t="n">
        <v>19</v>
      </c>
      <c r="C58" s="50" t="n">
        <v>0.6833333333333333</v>
      </c>
      <c r="D58" s="40" t="inlineStr">
        <is>
          <t>sound wav ~2min</t>
        </is>
      </c>
      <c r="E58" s="33" t="inlineStr">
        <is>
          <t>148/90/96</t>
        </is>
      </c>
      <c r="F58" s="40" t="inlineStr">
        <is>
          <t>ekg pdf ~30sec</t>
        </is>
      </c>
      <c r="G58" s="52" t="n">
        <v>19.4</v>
      </c>
      <c r="H58" s="48" t="n">
        <v>0.73</v>
      </c>
      <c r="I58" s="40" t="n">
        <v>1015</v>
      </c>
      <c r="J58" s="40" t="n">
        <v>36.3</v>
      </c>
      <c r="K58" s="48" t="n">
        <v>0.95</v>
      </c>
      <c r="L58" s="40" t="n">
        <v>103</v>
      </c>
      <c r="M58" s="75" t="inlineStr">
        <is>
          <t>131/85/97  SpO2 95% synus rhythm</t>
        </is>
      </c>
      <c r="N58" s="40" t="inlineStr">
        <is>
          <t>medium stress</t>
        </is>
      </c>
      <c r="O58" s="73" t="n"/>
      <c r="P58" s="49" t="inlineStr">
        <is>
          <t>after 1 min smoking</t>
        </is>
      </c>
      <c r="Q58" s="49" t="n">
        <v>3</v>
      </c>
      <c r="R58" s="49" t="n">
        <v>5</v>
      </c>
      <c r="S58" s="49" t="n">
        <v>7</v>
      </c>
      <c r="T58" s="49" t="inlineStr">
        <is>
          <t>sunny</t>
        </is>
      </c>
      <c r="U58" s="13" t="n"/>
      <c r="V58" s="14" t="n">
        <v>148</v>
      </c>
      <c r="W58" s="14" t="n">
        <v>90</v>
      </c>
      <c r="X58" s="15" t="n">
        <v>96</v>
      </c>
      <c r="Y58" s="3">
        <f>V58-W58</f>
        <v/>
      </c>
      <c r="Z58" s="3">
        <f>Y58*X58</f>
        <v/>
      </c>
      <c r="AA58" s="5">
        <f>4416/X58</f>
        <v/>
      </c>
      <c r="AB58" s="5">
        <f>-100+(100*AA58/Y58)</f>
        <v/>
      </c>
    </row>
    <row r="59">
      <c r="A59" s="70" t="n"/>
      <c r="B59" s="3" t="inlineStr">
        <is>
          <t>plus 100 steps</t>
        </is>
      </c>
      <c r="C59" s="70" t="n"/>
      <c r="D59" s="70" t="n"/>
      <c r="E59" s="70" t="n"/>
      <c r="F59" s="70" t="n"/>
      <c r="G59" s="70" t="n"/>
      <c r="H59" s="70" t="n"/>
      <c r="I59" s="70" t="n"/>
      <c r="J59" s="70" t="n"/>
      <c r="K59" s="70" t="n"/>
      <c r="L59" s="70" t="n"/>
      <c r="M59" s="70" t="n"/>
      <c r="N59" s="70" t="n"/>
      <c r="O59" s="70" t="n"/>
      <c r="P59" s="70" t="n"/>
      <c r="Q59" s="70" t="n"/>
      <c r="R59" s="70" t="n"/>
      <c r="S59" s="70" t="n"/>
      <c r="T59" s="70" t="n"/>
      <c r="U59" s="16" t="n"/>
      <c r="X59" s="17" t="n"/>
      <c r="Y59" s="3">
        <f>V59-W59</f>
        <v/>
      </c>
      <c r="Z59" s="3">
        <f>Y59*X59</f>
        <v/>
      </c>
      <c r="AA59" s="5">
        <f>4416/X59</f>
        <v/>
      </c>
      <c r="AB59" s="5">
        <f>-100+(100*AA59/Y59)</f>
        <v/>
      </c>
    </row>
    <row r="60">
      <c r="A60" s="71" t="n"/>
      <c r="C60" s="71" t="n"/>
      <c r="D60" s="71" t="n"/>
      <c r="E60" s="71" t="n"/>
      <c r="F60" s="71" t="n"/>
      <c r="G60" s="71" t="n"/>
      <c r="H60" s="71" t="n"/>
      <c r="I60" s="71" t="n"/>
      <c r="J60" s="71" t="n"/>
      <c r="K60" s="71" t="n"/>
      <c r="L60" s="71" t="n"/>
      <c r="M60" s="71" t="n"/>
      <c r="N60" s="71" t="n"/>
      <c r="O60" s="71" t="n"/>
      <c r="P60" s="71" t="n"/>
      <c r="Q60" s="71" t="n"/>
      <c r="R60" s="71" t="n"/>
      <c r="S60" s="71" t="n"/>
      <c r="T60" s="71" t="n"/>
      <c r="U60" s="18" t="n"/>
      <c r="V60" s="19" t="n"/>
      <c r="W60" s="19" t="n"/>
      <c r="X60" s="20" t="n"/>
      <c r="Y60" s="3">
        <f>V60-W60</f>
        <v/>
      </c>
      <c r="Z60" s="3">
        <f>Y60*X60</f>
        <v/>
      </c>
      <c r="AA60" s="5">
        <f>4416/X60</f>
        <v/>
      </c>
      <c r="AB60" s="5">
        <f>-100+(100*AA60/Y60)</f>
        <v/>
      </c>
    </row>
    <row r="61">
      <c r="A61" s="49" t="n">
        <v>20</v>
      </c>
      <c r="C61" s="50" t="n">
        <v>0.7097222222222223</v>
      </c>
      <c r="D61" s="40" t="inlineStr">
        <is>
          <t>sound wav ~2min</t>
        </is>
      </c>
      <c r="E61" s="33" t="inlineStr">
        <is>
          <t>146/90/101</t>
        </is>
      </c>
      <c r="F61" s="40" t="inlineStr">
        <is>
          <t>ekg pdf ~30sec</t>
        </is>
      </c>
      <c r="G61" s="52" t="n">
        <v>21</v>
      </c>
      <c r="H61" s="48" t="n">
        <v>0.67</v>
      </c>
      <c r="I61" s="40" t="n">
        <v>1015</v>
      </c>
      <c r="J61" s="40" t="n">
        <v>36.4</v>
      </c>
      <c r="K61" s="48" t="n">
        <v>0.97</v>
      </c>
      <c r="L61" s="40" t="n">
        <v>97</v>
      </c>
      <c r="M61" s="75" t="inlineStr">
        <is>
          <t>130/85/96  SpO2 95% synus rhythm</t>
        </is>
      </c>
      <c r="N61" s="40" t="inlineStr">
        <is>
          <t>medium stress</t>
        </is>
      </c>
      <c r="O61" s="73" t="n"/>
      <c r="P61" s="49" t="inlineStr">
        <is>
          <t>after 5 min smoking &amp; 1 beer</t>
        </is>
      </c>
      <c r="Q61" s="49" t="n">
        <v>4</v>
      </c>
      <c r="R61" s="49" t="n">
        <v>6</v>
      </c>
      <c r="S61" s="49" t="n">
        <v>8</v>
      </c>
      <c r="T61" s="49" t="inlineStr">
        <is>
          <t>sunny</t>
        </is>
      </c>
      <c r="U61" s="13" t="n"/>
      <c r="V61" s="14" t="n">
        <v>146</v>
      </c>
      <c r="W61" s="14" t="n">
        <v>90</v>
      </c>
      <c r="X61" s="15" t="n">
        <v>101</v>
      </c>
      <c r="Y61" s="3">
        <f>V61-W61</f>
        <v/>
      </c>
      <c r="Z61" s="3">
        <f>Y61*X61</f>
        <v/>
      </c>
      <c r="AA61" s="5">
        <f>4416/X61</f>
        <v/>
      </c>
      <c r="AB61" s="5">
        <f>-100+(100*AA61/Y61)</f>
        <v/>
      </c>
    </row>
    <row r="62">
      <c r="A62" s="70" t="n"/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16" t="n"/>
      <c r="X62" s="17" t="n"/>
      <c r="Y62" s="3">
        <f>V62-W62</f>
        <v/>
      </c>
      <c r="Z62" s="3">
        <f>Y62*X62</f>
        <v/>
      </c>
      <c r="AA62" s="5">
        <f>4416/X62</f>
        <v/>
      </c>
      <c r="AB62" s="5">
        <f>-100+(100*AA62/Y62)</f>
        <v/>
      </c>
    </row>
    <row r="63">
      <c r="A63" s="71" t="n"/>
      <c r="C63" s="71" t="n"/>
      <c r="D63" s="71" t="n"/>
      <c r="E63" s="71" t="n"/>
      <c r="F63" s="71" t="n"/>
      <c r="G63" s="71" t="n"/>
      <c r="H63" s="71" t="n"/>
      <c r="I63" s="71" t="n"/>
      <c r="J63" s="71" t="n"/>
      <c r="K63" s="71" t="n"/>
      <c r="L63" s="71" t="n"/>
      <c r="M63" s="71" t="n"/>
      <c r="N63" s="71" t="n"/>
      <c r="O63" s="71" t="n"/>
      <c r="P63" s="71" t="n"/>
      <c r="Q63" s="71" t="n"/>
      <c r="R63" s="71" t="n"/>
      <c r="S63" s="71" t="n"/>
      <c r="T63" s="71" t="n"/>
      <c r="U63" s="18" t="n"/>
      <c r="V63" s="19" t="n"/>
      <c r="W63" s="19" t="n"/>
      <c r="X63" s="20" t="n"/>
      <c r="Y63" s="3">
        <f>V63-W63</f>
        <v/>
      </c>
      <c r="Z63" s="3">
        <f>Y63*X63</f>
        <v/>
      </c>
      <c r="AA63" s="5">
        <f>4416/X63</f>
        <v/>
      </c>
      <c r="AB63" s="5">
        <f>-100+(100*AA63/Y63)</f>
        <v/>
      </c>
    </row>
    <row r="64">
      <c r="A64" s="49" t="n">
        <v>21</v>
      </c>
      <c r="C64" s="50" t="n">
        <v>0.73125</v>
      </c>
      <c r="D64" s="40" t="inlineStr">
        <is>
          <t>sound wav ~2min</t>
        </is>
      </c>
      <c r="E64" s="33" t="inlineStr">
        <is>
          <t>143/89/92</t>
        </is>
      </c>
      <c r="F64" s="40" t="inlineStr">
        <is>
          <t>ekg pdf ~30sec</t>
        </is>
      </c>
      <c r="G64" s="52" t="n">
        <v>21.2</v>
      </c>
      <c r="H64" s="48" t="n">
        <v>0.62</v>
      </c>
      <c r="I64" s="40" t="n">
        <v>1014</v>
      </c>
      <c r="J64" s="40" t="n">
        <v>36.2</v>
      </c>
      <c r="K64" s="48" t="n">
        <v>0.97</v>
      </c>
      <c r="L64" s="40" t="n">
        <v>99</v>
      </c>
      <c r="M64" s="75" t="inlineStr">
        <is>
          <t>128/84/95  SpO2 93% synus rhythm</t>
        </is>
      </c>
      <c r="N64" s="40" t="inlineStr">
        <is>
          <t>medium stress</t>
        </is>
      </c>
      <c r="O64" s="73" t="n"/>
      <c r="P64" s="49" t="inlineStr">
        <is>
          <t>after 5 min smoking &amp; 1 beer</t>
        </is>
      </c>
      <c r="Q64" s="49" t="n">
        <v>4</v>
      </c>
      <c r="R64" s="49" t="n">
        <v>6</v>
      </c>
      <c r="S64" s="49" t="n">
        <v>8</v>
      </c>
      <c r="T64" s="49" t="inlineStr">
        <is>
          <t>sunny</t>
        </is>
      </c>
      <c r="U64" s="13" t="n"/>
      <c r="V64" s="14" t="n">
        <v>143</v>
      </c>
      <c r="W64" s="14" t="n">
        <v>89</v>
      </c>
      <c r="X64" s="15" t="n">
        <v>92</v>
      </c>
      <c r="Y64" s="3">
        <f>V64-W64</f>
        <v/>
      </c>
      <c r="Z64" s="3">
        <f>Y64*X64</f>
        <v/>
      </c>
      <c r="AA64" s="5">
        <f>4416/X64</f>
        <v/>
      </c>
      <c r="AB64" s="5">
        <f>-100+(100*AA64/Y64)</f>
        <v/>
      </c>
    </row>
    <row r="65">
      <c r="A65" s="70" t="n"/>
      <c r="C65" s="70" t="n"/>
      <c r="D65" s="70" t="n"/>
      <c r="E65" s="70" t="n"/>
      <c r="F65" s="70" t="n"/>
      <c r="G65" s="70" t="n"/>
      <c r="H65" s="70" t="n"/>
      <c r="I65" s="70" t="n"/>
      <c r="J65" s="70" t="n"/>
      <c r="K65" s="70" t="n"/>
      <c r="L65" s="70" t="n"/>
      <c r="M65" s="70" t="n"/>
      <c r="N65" s="70" t="n"/>
      <c r="O65" s="70" t="n"/>
      <c r="P65" s="70" t="n"/>
      <c r="Q65" s="70" t="n"/>
      <c r="R65" s="70" t="n"/>
      <c r="S65" s="70" t="n"/>
      <c r="T65" s="70" t="n"/>
      <c r="U65" s="16" t="n"/>
      <c r="X65" s="17" t="n"/>
      <c r="Y65" s="3">
        <f>V65-W65</f>
        <v/>
      </c>
      <c r="Z65" s="3">
        <f>Y65*X65</f>
        <v/>
      </c>
      <c r="AA65" s="5">
        <f>4416/X65</f>
        <v/>
      </c>
      <c r="AB65" s="5">
        <f>-100+(100*AA65/Y65)</f>
        <v/>
      </c>
    </row>
    <row r="66">
      <c r="A66" s="71" t="n"/>
      <c r="C66" s="71" t="n"/>
      <c r="D66" s="71" t="n"/>
      <c r="E66" s="71" t="n"/>
      <c r="F66" s="71" t="n"/>
      <c r="G66" s="71" t="n"/>
      <c r="H66" s="71" t="n"/>
      <c r="I66" s="71" t="n"/>
      <c r="J66" s="71" t="n"/>
      <c r="K66" s="71" t="n"/>
      <c r="L66" s="71" t="n"/>
      <c r="M66" s="71" t="n"/>
      <c r="N66" s="71" t="n"/>
      <c r="O66" s="71" t="n"/>
      <c r="P66" s="71" t="n"/>
      <c r="Q66" s="71" t="n"/>
      <c r="R66" s="71" t="n"/>
      <c r="S66" s="71" t="n"/>
      <c r="T66" s="71" t="n"/>
      <c r="U66" s="18" t="n"/>
      <c r="V66" s="19" t="n"/>
      <c r="W66" s="19" t="n"/>
      <c r="X66" s="20" t="n"/>
      <c r="Y66" s="3">
        <f>V66-W66</f>
        <v/>
      </c>
      <c r="Z66" s="3">
        <f>Y66*X66</f>
        <v/>
      </c>
      <c r="AA66" s="5">
        <f>4416/X66</f>
        <v/>
      </c>
      <c r="AB66" s="5">
        <f>-100+(100*AA66/Y66)</f>
        <v/>
      </c>
    </row>
    <row r="67" ht="15" customHeight="1">
      <c r="A67" s="49" t="n">
        <v>22</v>
      </c>
      <c r="C67" s="50" t="n">
        <v>0.7430555555555556</v>
      </c>
      <c r="D67" s="40" t="inlineStr">
        <is>
          <t>sound wav ~2min</t>
        </is>
      </c>
      <c r="E67" s="33" t="inlineStr">
        <is>
          <t>145/88/93</t>
        </is>
      </c>
      <c r="F67" s="40" t="inlineStr">
        <is>
          <t>ekg pdf ~30sec</t>
        </is>
      </c>
      <c r="G67" s="52" t="n">
        <v>21</v>
      </c>
      <c r="H67" s="48" t="n">
        <v>0.65</v>
      </c>
      <c r="I67" s="40" t="n">
        <v>1014</v>
      </c>
      <c r="J67" s="40" t="n">
        <v>36.4</v>
      </c>
      <c r="K67" s="48" t="n">
        <v>0.96</v>
      </c>
      <c r="L67" s="40" t="n">
        <v>95</v>
      </c>
      <c r="M67" s="75" t="inlineStr">
        <is>
          <t>128/84/103  SpO2 97% synus rhythm</t>
        </is>
      </c>
      <c r="N67" s="40" t="inlineStr">
        <is>
          <t>low stress</t>
        </is>
      </c>
      <c r="O67" s="73" t="n"/>
      <c r="P67" s="49" t="inlineStr">
        <is>
          <t>after 5 min smoking &amp; 1 beer</t>
        </is>
      </c>
      <c r="Q67" s="49" t="n">
        <v>4</v>
      </c>
      <c r="R67" s="49" t="n">
        <v>6</v>
      </c>
      <c r="S67" s="49" t="n">
        <v>8</v>
      </c>
      <c r="T67" s="49" t="inlineStr">
        <is>
          <t>sunny</t>
        </is>
      </c>
      <c r="U67" s="13" t="n"/>
      <c r="V67" s="14" t="n">
        <v>145</v>
      </c>
      <c r="W67" s="14" t="n">
        <v>88</v>
      </c>
      <c r="X67" s="15" t="n">
        <v>93</v>
      </c>
      <c r="Y67" s="3">
        <f>V67-W67</f>
        <v/>
      </c>
      <c r="Z67" s="3">
        <f>Y67*X67</f>
        <v/>
      </c>
      <c r="AA67" s="5">
        <f>4416/X67</f>
        <v/>
      </c>
      <c r="AB67" s="5">
        <f>-100+(100*AA67/Y67)</f>
        <v/>
      </c>
    </row>
    <row r="68">
      <c r="A68" s="70" t="n"/>
      <c r="B68" s="3" t="inlineStr">
        <is>
          <t>plus 400 steps</t>
        </is>
      </c>
      <c r="C68" s="70" t="n"/>
      <c r="D68" s="70" t="n"/>
      <c r="E68" s="70" t="n"/>
      <c r="F68" s="70" t="n"/>
      <c r="G68" s="70" t="n"/>
      <c r="H68" s="70" t="n"/>
      <c r="I68" s="70" t="n"/>
      <c r="J68" s="70" t="n"/>
      <c r="K68" s="70" t="n"/>
      <c r="L68" s="70" t="n"/>
      <c r="M68" s="70" t="n"/>
      <c r="N68" s="70" t="n"/>
      <c r="O68" s="70" t="n"/>
      <c r="P68" s="70" t="n"/>
      <c r="Q68" s="70" t="n"/>
      <c r="R68" s="70" t="n"/>
      <c r="S68" s="70" t="n"/>
      <c r="T68" s="70" t="n"/>
      <c r="U68" s="16" t="n"/>
      <c r="X68" s="17" t="n"/>
      <c r="Y68" s="3">
        <f>V68-W68</f>
        <v/>
      </c>
      <c r="Z68" s="3">
        <f>Y68*X68</f>
        <v/>
      </c>
      <c r="AA68" s="5">
        <f>4416/X68</f>
        <v/>
      </c>
      <c r="AB68" s="5">
        <f>-100+(100*AA68/Y68)</f>
        <v/>
      </c>
    </row>
    <row r="69">
      <c r="A69" s="71" t="n"/>
      <c r="C69" s="71" t="n"/>
      <c r="D69" s="71" t="n"/>
      <c r="E69" s="71" t="n"/>
      <c r="F69" s="71" t="n"/>
      <c r="G69" s="71" t="n"/>
      <c r="H69" s="71" t="n"/>
      <c r="I69" s="71" t="n"/>
      <c r="J69" s="71" t="n"/>
      <c r="K69" s="71" t="n"/>
      <c r="L69" s="71" t="n"/>
      <c r="M69" s="71" t="n"/>
      <c r="N69" s="71" t="n"/>
      <c r="O69" s="71" t="n"/>
      <c r="P69" s="71" t="n"/>
      <c r="Q69" s="71" t="n"/>
      <c r="R69" s="71" t="n"/>
      <c r="S69" s="71" t="n"/>
      <c r="T69" s="71" t="n"/>
      <c r="U69" s="18" t="n"/>
      <c r="V69" s="19" t="n"/>
      <c r="W69" s="19" t="n"/>
      <c r="X69" s="20" t="n"/>
      <c r="Y69" s="3">
        <f>V69-W69</f>
        <v/>
      </c>
      <c r="Z69" s="3">
        <f>Y69*X69</f>
        <v/>
      </c>
      <c r="AA69" s="5">
        <f>4416/X69</f>
        <v/>
      </c>
      <c r="AB69" s="5">
        <f>-100+(100*AA69/Y69)</f>
        <v/>
      </c>
    </row>
    <row r="70">
      <c r="A70" s="49" t="n">
        <v>23</v>
      </c>
      <c r="C70" s="50" t="n">
        <v>0.7708333333333334</v>
      </c>
      <c r="D70" s="40" t="inlineStr">
        <is>
          <t>sound wav ~2min</t>
        </is>
      </c>
      <c r="E70" s="33" t="inlineStr">
        <is>
          <t>136/87/92</t>
        </is>
      </c>
      <c r="F70" s="40" t="inlineStr">
        <is>
          <t>ekg pdf ~30sec</t>
        </is>
      </c>
      <c r="G70" s="52" t="n">
        <v>19.9</v>
      </c>
      <c r="H70" s="48" t="n">
        <v>0.73</v>
      </c>
      <c r="I70" s="40" t="n">
        <v>1014</v>
      </c>
      <c r="J70" s="40" t="n">
        <v>36.3</v>
      </c>
      <c r="K70" s="48" t="n">
        <v>0.96</v>
      </c>
      <c r="L70" s="40" t="n">
        <v>97</v>
      </c>
      <c r="M70" s="75" t="inlineStr">
        <is>
          <t>127/82/100  SpO2 96% synus rhythm</t>
        </is>
      </c>
      <c r="N70" s="40" t="inlineStr">
        <is>
          <t>low stress</t>
        </is>
      </c>
      <c r="O70" s="73" t="n"/>
      <c r="P70" s="49" t="inlineStr">
        <is>
          <t>after dinner</t>
        </is>
      </c>
      <c r="Q70" s="49" t="n">
        <v>4</v>
      </c>
      <c r="R70" s="49" t="n">
        <v>7</v>
      </c>
      <c r="S70" s="49" t="n">
        <v>10</v>
      </c>
      <c r="T70" s="49" t="inlineStr">
        <is>
          <t>sunny</t>
        </is>
      </c>
      <c r="U70" s="13" t="n"/>
      <c r="V70" s="14" t="n">
        <v>136</v>
      </c>
      <c r="W70" s="14" t="n">
        <v>87</v>
      </c>
      <c r="X70" s="15" t="n">
        <v>92</v>
      </c>
      <c r="Y70" s="21">
        <f>V70-W70</f>
        <v/>
      </c>
      <c r="Z70" s="3">
        <f>Y70*X70</f>
        <v/>
      </c>
      <c r="AA70" s="5">
        <f>4416/X70</f>
        <v/>
      </c>
      <c r="AB70" s="5">
        <f>-100+(100*AA70/Y70)</f>
        <v/>
      </c>
    </row>
    <row r="71">
      <c r="A71" s="70" t="n"/>
      <c r="C71" s="70" t="n"/>
      <c r="D71" s="70" t="n"/>
      <c r="E71" s="70" t="n"/>
      <c r="F71" s="70" t="n"/>
      <c r="G71" s="70" t="n"/>
      <c r="H71" s="70" t="n"/>
      <c r="I71" s="70" t="n"/>
      <c r="J71" s="70" t="n"/>
      <c r="K71" s="70" t="n"/>
      <c r="L71" s="70" t="n"/>
      <c r="M71" s="70" t="n"/>
      <c r="N71" s="70" t="n"/>
      <c r="O71" s="70" t="n"/>
      <c r="P71" s="70" t="n"/>
      <c r="Q71" s="70" t="n"/>
      <c r="R71" s="70" t="n"/>
      <c r="S71" s="70" t="n"/>
      <c r="T71" s="70" t="n"/>
      <c r="U71" s="16" t="n"/>
      <c r="X71" s="17" t="n"/>
      <c r="Y71" s="3">
        <f>V71-W71</f>
        <v/>
      </c>
      <c r="Z71" s="3">
        <f>Y71*X71</f>
        <v/>
      </c>
      <c r="AA71" s="5">
        <f>4416/X71</f>
        <v/>
      </c>
      <c r="AB71" s="5">
        <f>-100+(100*AA71/Y71)</f>
        <v/>
      </c>
    </row>
    <row r="72">
      <c r="A72" s="71" t="n"/>
      <c r="C72" s="71" t="n"/>
      <c r="D72" s="71" t="n"/>
      <c r="E72" s="71" t="n"/>
      <c r="F72" s="71" t="n"/>
      <c r="G72" s="71" t="n"/>
      <c r="H72" s="71" t="n"/>
      <c r="I72" s="71" t="n"/>
      <c r="J72" s="71" t="n"/>
      <c r="K72" s="71" t="n"/>
      <c r="L72" s="71" t="n"/>
      <c r="M72" s="71" t="n"/>
      <c r="N72" s="71" t="n"/>
      <c r="O72" s="71" t="n"/>
      <c r="P72" s="71" t="n"/>
      <c r="Q72" s="71" t="n"/>
      <c r="R72" s="71" t="n"/>
      <c r="S72" s="71" t="n"/>
      <c r="T72" s="71" t="n"/>
      <c r="U72" s="18" t="n"/>
      <c r="V72" s="19" t="n"/>
      <c r="W72" s="19" t="n"/>
      <c r="X72" s="20" t="n"/>
      <c r="Y72" s="3">
        <f>V72-W72</f>
        <v/>
      </c>
      <c r="Z72" s="3">
        <f>Y72*X72</f>
        <v/>
      </c>
      <c r="AA72" s="5">
        <f>4416/X72</f>
        <v/>
      </c>
      <c r="AB72" s="5">
        <f>-100+(100*AA72/Y72)</f>
        <v/>
      </c>
    </row>
    <row r="73" ht="15" customHeight="1">
      <c r="A73" s="49" t="n">
        <v>24</v>
      </c>
      <c r="C73" s="50" t="n">
        <v>0.8798611111111111</v>
      </c>
      <c r="D73" s="40" t="inlineStr">
        <is>
          <t>sound wav ~2min</t>
        </is>
      </c>
      <c r="E73" s="33" t="inlineStr">
        <is>
          <t>133/84/86</t>
        </is>
      </c>
      <c r="F73" s="40" t="inlineStr">
        <is>
          <t>ekg pdf ~30sec</t>
        </is>
      </c>
      <c r="G73" s="52" t="n">
        <v>16.6</v>
      </c>
      <c r="H73" s="48" t="n">
        <v>0.79</v>
      </c>
      <c r="I73" s="40" t="n">
        <v>1014</v>
      </c>
      <c r="J73" s="40" t="n">
        <v>36.7</v>
      </c>
      <c r="K73" s="48" t="n">
        <v>0.96</v>
      </c>
      <c r="L73" s="40" t="n">
        <v>88</v>
      </c>
      <c r="M73" s="75" t="inlineStr">
        <is>
          <t>126/80/88  SpO2 96% synus rhythm</t>
        </is>
      </c>
      <c r="N73" s="40" t="inlineStr">
        <is>
          <t>low stress</t>
        </is>
      </c>
      <c r="O73" s="73" t="n"/>
      <c r="P73" s="49" t="inlineStr">
        <is>
          <t>after 5 min smoking &amp; 1 beer</t>
        </is>
      </c>
      <c r="Q73" s="49" t="n">
        <v>6</v>
      </c>
      <c r="R73" s="49" t="n">
        <v>9</v>
      </c>
      <c r="S73" s="49" t="n">
        <v>12</v>
      </c>
      <c r="T73" s="49" t="inlineStr">
        <is>
          <t>clear</t>
        </is>
      </c>
      <c r="U73" s="13" t="n"/>
      <c r="V73" s="14" t="n">
        <v>133</v>
      </c>
      <c r="W73" s="14" t="n">
        <v>84</v>
      </c>
      <c r="X73" s="15" t="n">
        <v>86</v>
      </c>
      <c r="Y73" s="21">
        <f>V73-W73</f>
        <v/>
      </c>
      <c r="Z73" s="3">
        <f>Y73*X73</f>
        <v/>
      </c>
      <c r="AA73" s="5">
        <f>4416/X73</f>
        <v/>
      </c>
      <c r="AB73" s="5">
        <f>-100+(100*AA73/Y73)</f>
        <v/>
      </c>
    </row>
    <row r="74">
      <c r="A74" s="70" t="n"/>
      <c r="B74" s="3" t="inlineStr">
        <is>
          <t>plus 3300 steps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0" t="n"/>
      <c r="T74" s="70" t="n"/>
      <c r="U74" s="16" t="n"/>
      <c r="X74" s="17" t="n"/>
      <c r="Y74" s="3">
        <f>V74-W74</f>
        <v/>
      </c>
      <c r="Z74" s="3">
        <f>Y74*X74</f>
        <v/>
      </c>
      <c r="AA74" s="5">
        <f>4416/X74</f>
        <v/>
      </c>
      <c r="AB74" s="5">
        <f>-100+(100*AA74/Y74)</f>
        <v/>
      </c>
    </row>
    <row r="75">
      <c r="A75" s="71" t="n"/>
      <c r="C75" s="71" t="n"/>
      <c r="D75" s="71" t="n"/>
      <c r="E75" s="71" t="n"/>
      <c r="F75" s="71" t="n"/>
      <c r="G75" s="71" t="n"/>
      <c r="H75" s="71" t="n"/>
      <c r="I75" s="71" t="n"/>
      <c r="J75" s="71" t="n"/>
      <c r="K75" s="71" t="n"/>
      <c r="L75" s="71" t="n"/>
      <c r="M75" s="71" t="n"/>
      <c r="N75" s="71" t="n"/>
      <c r="O75" s="71" t="n"/>
      <c r="P75" s="71" t="n"/>
      <c r="Q75" s="71" t="n"/>
      <c r="R75" s="71" t="n"/>
      <c r="S75" s="71" t="n"/>
      <c r="T75" s="71" t="n"/>
      <c r="U75" s="18" t="n"/>
      <c r="V75" s="19" t="n"/>
      <c r="W75" s="19" t="n"/>
      <c r="X75" s="20" t="n"/>
      <c r="Y75" s="3">
        <f>V75-W75</f>
        <v/>
      </c>
      <c r="Z75" s="3">
        <f>Y75*X75</f>
        <v/>
      </c>
      <c r="AA75" s="5">
        <f>4416/X75</f>
        <v/>
      </c>
      <c r="AB75" s="5">
        <f>-100+(100*AA75/Y75)</f>
        <v/>
      </c>
    </row>
    <row r="76" ht="36" customHeight="1">
      <c r="A76" s="49" t="n">
        <v>25</v>
      </c>
      <c r="B76" s="1" t="inlineStr">
        <is>
          <t>7:55 h sleep / sleep score 79 (REM 22% light 61% deep 7% awake 10%)</t>
        </is>
      </c>
      <c r="C76" s="50" t="n">
        <v>0.3472222222222222</v>
      </c>
      <c r="D76" s="40" t="inlineStr">
        <is>
          <t>sound wav ~2min</t>
        </is>
      </c>
      <c r="E76" s="33" t="inlineStr">
        <is>
          <t>136/87/96</t>
        </is>
      </c>
      <c r="F76" s="40" t="inlineStr">
        <is>
          <t>ekg pdf ~30sec</t>
        </is>
      </c>
      <c r="G76" s="52" t="n">
        <v>14.5</v>
      </c>
      <c r="H76" s="48" t="n">
        <v>0.89</v>
      </c>
      <c r="I76" s="40" t="n">
        <v>1014</v>
      </c>
      <c r="J76" s="40" t="n">
        <v>36.5</v>
      </c>
      <c r="K76" s="48" t="n">
        <v>0.98</v>
      </c>
      <c r="L76" s="40" t="n">
        <v>96</v>
      </c>
      <c r="M76" s="75" t="inlineStr">
        <is>
          <t>130/84/103  SpO2 96% synus rhythm</t>
        </is>
      </c>
      <c r="N76" s="40" t="inlineStr">
        <is>
          <t>low stress</t>
        </is>
      </c>
      <c r="O76" s="73" t="n"/>
      <c r="P76" s="49" t="inlineStr">
        <is>
          <t>after 5 min smoking &amp; coffee</t>
        </is>
      </c>
      <c r="Q76" s="49" t="n">
        <v>4</v>
      </c>
      <c r="R76" s="49" t="n">
        <v>7</v>
      </c>
      <c r="S76" s="49" t="n">
        <v>8</v>
      </c>
      <c r="T76" s="49" t="inlineStr">
        <is>
          <t>sunny</t>
        </is>
      </c>
      <c r="U76" s="13" t="inlineStr">
        <is>
          <t>wake up at 7:20</t>
        </is>
      </c>
      <c r="V76" s="14" t="n">
        <v>136</v>
      </c>
      <c r="W76" s="14" t="n">
        <v>87</v>
      </c>
      <c r="X76" s="15" t="n">
        <v>96</v>
      </c>
      <c r="Y76" s="21">
        <f>V76-W76</f>
        <v/>
      </c>
      <c r="Z76" s="3">
        <f>Y76*X76</f>
        <v/>
      </c>
      <c r="AA76" s="5">
        <f>4416/X76</f>
        <v/>
      </c>
      <c r="AB76" s="5">
        <f>-100+(100*AA76/Y76)</f>
        <v/>
      </c>
    </row>
    <row r="77" ht="16.5" customHeight="1">
      <c r="A77" s="70" t="n"/>
      <c r="B77" s="4" t="inlineStr">
        <is>
          <t>23 iul 2021</t>
        </is>
      </c>
      <c r="C77" s="70" t="n"/>
      <c r="D77" s="70" t="n"/>
      <c r="E77" s="70" t="n"/>
      <c r="F77" s="70" t="n"/>
      <c r="G77" s="70" t="n"/>
      <c r="H77" s="70" t="n"/>
      <c r="I77" s="70" t="n"/>
      <c r="J77" s="70" t="n"/>
      <c r="K77" s="70" t="n"/>
      <c r="L77" s="70" t="n"/>
      <c r="M77" s="70" t="n"/>
      <c r="N77" s="70" t="n"/>
      <c r="O77" s="70" t="n"/>
      <c r="P77" s="70" t="n"/>
      <c r="Q77" s="70" t="n"/>
      <c r="R77" s="70" t="n"/>
      <c r="S77" s="70" t="n"/>
      <c r="T77" s="70" t="n"/>
      <c r="U77" s="16" t="inlineStr">
        <is>
          <t>before pills</t>
        </is>
      </c>
      <c r="X77" s="17" t="n"/>
      <c r="Y77" s="3">
        <f>V77-W77</f>
        <v/>
      </c>
      <c r="Z77" s="3">
        <f>Y77*X77</f>
        <v/>
      </c>
      <c r="AA77" s="5">
        <f>4416/X77</f>
        <v/>
      </c>
      <c r="AB77" s="5">
        <f>-100+(100*AA77/Y77)</f>
        <v/>
      </c>
    </row>
    <row r="78" ht="19.5" customHeight="1">
      <c r="A78" s="71" t="n"/>
      <c r="B78" s="1" t="inlineStr">
        <is>
          <t>total 8800 steps</t>
        </is>
      </c>
      <c r="C78" s="71" t="n"/>
      <c r="D78" s="71" t="n"/>
      <c r="E78" s="71" t="n"/>
      <c r="F78" s="71" t="n"/>
      <c r="G78" s="71" t="n"/>
      <c r="H78" s="71" t="n"/>
      <c r="I78" s="71" t="n"/>
      <c r="J78" s="71" t="n"/>
      <c r="K78" s="71" t="n"/>
      <c r="L78" s="71" t="n"/>
      <c r="M78" s="71" t="n"/>
      <c r="N78" s="71" t="n"/>
      <c r="O78" s="71" t="n"/>
      <c r="P78" s="71" t="n"/>
      <c r="Q78" s="71" t="n"/>
      <c r="R78" s="71" t="n"/>
      <c r="S78" s="71" t="n"/>
      <c r="T78" s="71" t="n"/>
      <c r="U78" s="18" t="n"/>
      <c r="V78" s="19" t="n"/>
      <c r="W78" s="19" t="n"/>
      <c r="X78" s="20" t="n"/>
      <c r="Y78" s="3">
        <f>V78-W78</f>
        <v/>
      </c>
      <c r="Z78" s="3">
        <f>Y78*X78</f>
        <v/>
      </c>
      <c r="AA78" s="5">
        <f>4416/X78</f>
        <v/>
      </c>
      <c r="AB78" s="5">
        <f>-100+(100*AA78/Y78)</f>
        <v/>
      </c>
    </row>
    <row r="79" ht="15" customHeight="1">
      <c r="A79" s="49" t="n">
        <v>26</v>
      </c>
      <c r="C79" s="50" t="n">
        <v>0.5729166666666666</v>
      </c>
      <c r="D79" s="40" t="inlineStr">
        <is>
          <t>sound wav ~2min</t>
        </is>
      </c>
      <c r="E79" s="33" t="inlineStr">
        <is>
          <t>133/81/102</t>
        </is>
      </c>
      <c r="F79" s="40" t="inlineStr">
        <is>
          <t>ekg pdf ~30sec</t>
        </is>
      </c>
      <c r="G79" s="52" t="n">
        <v>22.3</v>
      </c>
      <c r="H79" s="48" t="n">
        <v>0.62</v>
      </c>
      <c r="I79" s="40" t="n">
        <v>1013</v>
      </c>
      <c r="J79" s="40" t="n">
        <v>36.2</v>
      </c>
      <c r="K79" s="48" t="n">
        <v>0.96</v>
      </c>
      <c r="L79" s="40" t="n">
        <v>101</v>
      </c>
      <c r="M79" s="75" t="inlineStr">
        <is>
          <t>132/87/98  SpO2 97% synus rhythm</t>
        </is>
      </c>
      <c r="N79" s="40" t="inlineStr">
        <is>
          <t>medium stress</t>
        </is>
      </c>
      <c r="O79" s="73" t="n"/>
      <c r="P79" s="49" t="inlineStr">
        <is>
          <t>after brunch</t>
        </is>
      </c>
      <c r="Q79" s="49" t="n">
        <v>5</v>
      </c>
      <c r="R79" s="49" t="n">
        <v>8</v>
      </c>
      <c r="S79" s="49" t="n">
        <v>9</v>
      </c>
      <c r="T79" s="49" t="inlineStr">
        <is>
          <t>sunny</t>
        </is>
      </c>
      <c r="U79" s="13" t="n"/>
      <c r="V79" s="14" t="n">
        <v>133</v>
      </c>
      <c r="W79" s="14" t="n">
        <v>81</v>
      </c>
      <c r="X79" s="15" t="n">
        <v>102</v>
      </c>
      <c r="Y79" s="3">
        <f>V79-W79</f>
        <v/>
      </c>
      <c r="Z79" s="3">
        <f>Y79*X79</f>
        <v/>
      </c>
      <c r="AA79" s="5">
        <f>4416/X79</f>
        <v/>
      </c>
      <c r="AB79" s="5">
        <f>-100+(100*AA79/Y79)</f>
        <v/>
      </c>
    </row>
    <row r="80">
      <c r="A80" s="70" t="n"/>
      <c r="B80" s="3" t="inlineStr">
        <is>
          <t>plus 4000 steps</t>
        </is>
      </c>
      <c r="C80" s="70" t="n"/>
      <c r="D80" s="70" t="n"/>
      <c r="E80" s="70" t="n"/>
      <c r="F80" s="70" t="n"/>
      <c r="G80" s="70" t="n"/>
      <c r="H80" s="70" t="n"/>
      <c r="I80" s="70" t="n"/>
      <c r="J80" s="70" t="n"/>
      <c r="K80" s="70" t="n"/>
      <c r="L80" s="70" t="n"/>
      <c r="M80" s="70" t="n"/>
      <c r="N80" s="70" t="n"/>
      <c r="O80" s="70" t="n"/>
      <c r="P80" s="70" t="n"/>
      <c r="Q80" s="70" t="n"/>
      <c r="R80" s="70" t="n"/>
      <c r="S80" s="70" t="n"/>
      <c r="T80" s="70" t="n"/>
      <c r="U80" s="16" t="inlineStr">
        <is>
          <t>after pills</t>
        </is>
      </c>
      <c r="X80" s="17" t="n"/>
      <c r="Y80" s="3">
        <f>V80-W80</f>
        <v/>
      </c>
      <c r="Z80" s="3">
        <f>Y80*X80</f>
        <v/>
      </c>
      <c r="AA80" s="5">
        <f>4416/X80</f>
        <v/>
      </c>
      <c r="AB80" s="5">
        <f>-100+(100*AA80/Y80)</f>
        <v/>
      </c>
    </row>
    <row r="81">
      <c r="A81" s="71" t="n"/>
      <c r="C81" s="71" t="n"/>
      <c r="D81" s="71" t="n"/>
      <c r="E81" s="71" t="n"/>
      <c r="F81" s="71" t="n"/>
      <c r="G81" s="71" t="n"/>
      <c r="H81" s="71" t="n"/>
      <c r="I81" s="71" t="n"/>
      <c r="J81" s="71" t="n"/>
      <c r="K81" s="71" t="n"/>
      <c r="L81" s="71" t="n"/>
      <c r="M81" s="71" t="n"/>
      <c r="N81" s="71" t="n"/>
      <c r="O81" s="71" t="n"/>
      <c r="P81" s="71" t="n"/>
      <c r="Q81" s="71" t="n"/>
      <c r="R81" s="71" t="n"/>
      <c r="S81" s="71" t="n"/>
      <c r="T81" s="71" t="n"/>
      <c r="U81" s="18" t="n"/>
      <c r="V81" s="19" t="n"/>
      <c r="W81" s="19" t="n"/>
      <c r="X81" s="20" t="n"/>
      <c r="Y81" s="3">
        <f>V81-W81</f>
        <v/>
      </c>
      <c r="Z81" s="3">
        <f>Y81*X81</f>
        <v/>
      </c>
      <c r="AA81" s="5">
        <f>4416/X81</f>
        <v/>
      </c>
      <c r="AB81" s="5">
        <f>-100+(100*AA81/Y81)</f>
        <v/>
      </c>
    </row>
    <row r="82" ht="34.5" customHeight="1">
      <c r="A82" s="49" t="n">
        <v>27</v>
      </c>
      <c r="B82" s="1" t="inlineStr">
        <is>
          <t>7:52 h sleep / sleep score 75 (REM 24% light 55% deep 12% awake 9%)</t>
        </is>
      </c>
      <c r="C82" s="50" t="n">
        <v>0.4097222222222222</v>
      </c>
      <c r="D82" s="40" t="inlineStr">
        <is>
          <t>sound wav ~2min</t>
        </is>
      </c>
      <c r="E82" s="33" t="inlineStr">
        <is>
          <t>126/79/90</t>
        </is>
      </c>
      <c r="F82" s="40" t="inlineStr">
        <is>
          <t>ekg pdf ~30sec</t>
        </is>
      </c>
      <c r="G82" s="52" t="n">
        <v>18.5</v>
      </c>
      <c r="H82" s="48" t="n">
        <v>0.8</v>
      </c>
      <c r="I82" s="40" t="n">
        <v>1013</v>
      </c>
      <c r="J82" s="40" t="n">
        <v>36.6</v>
      </c>
      <c r="K82" s="48" t="n">
        <v>0.96</v>
      </c>
      <c r="L82" s="40" t="n">
        <v>88</v>
      </c>
      <c r="M82" s="75" t="inlineStr">
        <is>
          <t>128/82/92  SpO2 97% synus rhythm</t>
        </is>
      </c>
      <c r="N82" s="40" t="inlineStr">
        <is>
          <t>low stress</t>
        </is>
      </c>
      <c r="O82" s="73" t="n"/>
      <c r="P82" s="49" t="inlineStr">
        <is>
          <t>after 10 min smoking &amp; coffee</t>
        </is>
      </c>
      <c r="Q82" s="49" t="n">
        <v>4</v>
      </c>
      <c r="R82" s="49" t="n">
        <v>7</v>
      </c>
      <c r="S82" s="49" t="n">
        <v>9</v>
      </c>
      <c r="T82" s="49" t="inlineStr">
        <is>
          <t>sunny</t>
        </is>
      </c>
      <c r="U82" s="13" t="inlineStr">
        <is>
          <t>wake up at 7:50</t>
        </is>
      </c>
      <c r="V82" s="14" t="n">
        <v>126</v>
      </c>
      <c r="W82" s="14" t="n">
        <v>79</v>
      </c>
      <c r="X82" s="15" t="n">
        <v>90</v>
      </c>
      <c r="Y82" s="3">
        <f>V82-W82</f>
        <v/>
      </c>
      <c r="Z82" s="3">
        <f>Y82*X82</f>
        <v/>
      </c>
      <c r="AA82" s="5">
        <f>4416/X82</f>
        <v/>
      </c>
      <c r="AB82" s="5">
        <f>-100+(100*AA82/Y82)</f>
        <v/>
      </c>
    </row>
    <row r="83">
      <c r="A83" s="70" t="n"/>
      <c r="B83" s="4" t="inlineStr">
        <is>
          <t>24 iul 2021</t>
        </is>
      </c>
      <c r="C83" s="70" t="n"/>
      <c r="D83" s="70" t="n"/>
      <c r="E83" s="70" t="n"/>
      <c r="F83" s="70" t="n"/>
      <c r="G83" s="70" t="n"/>
      <c r="H83" s="70" t="n"/>
      <c r="I83" s="70" t="n"/>
      <c r="J83" s="70" t="n"/>
      <c r="K83" s="70" t="n"/>
      <c r="L83" s="70" t="n"/>
      <c r="M83" s="70" t="n"/>
      <c r="N83" s="70" t="n"/>
      <c r="O83" s="70" t="n"/>
      <c r="P83" s="70" t="n"/>
      <c r="Q83" s="70" t="n"/>
      <c r="R83" s="70" t="n"/>
      <c r="S83" s="70" t="n"/>
      <c r="T83" s="70" t="n"/>
      <c r="U83" s="16" t="inlineStr">
        <is>
          <t>after pills</t>
        </is>
      </c>
      <c r="X83" s="17" t="n"/>
      <c r="Y83" s="3">
        <f>V83-W83</f>
        <v/>
      </c>
      <c r="Z83" s="3">
        <f>Y83*X83</f>
        <v/>
      </c>
      <c r="AA83" s="5">
        <f>4416/X83</f>
        <v/>
      </c>
      <c r="AB83" s="5">
        <f>-100+(100*AA83/Y83)</f>
        <v/>
      </c>
    </row>
    <row r="84">
      <c r="A84" s="71" t="n"/>
      <c r="B84" s="1" t="inlineStr">
        <is>
          <t>total 9500 steps</t>
        </is>
      </c>
      <c r="C84" s="71" t="n"/>
      <c r="D84" s="71" t="n"/>
      <c r="E84" s="71" t="n"/>
      <c r="F84" s="71" t="n"/>
      <c r="G84" s="71" t="n"/>
      <c r="H84" s="71" t="n"/>
      <c r="I84" s="71" t="n"/>
      <c r="J84" s="71" t="n"/>
      <c r="K84" s="71" t="n"/>
      <c r="L84" s="71" t="n"/>
      <c r="M84" s="71" t="n"/>
      <c r="N84" s="71" t="n"/>
      <c r="O84" s="71" t="n"/>
      <c r="P84" s="71" t="n"/>
      <c r="Q84" s="71" t="n"/>
      <c r="R84" s="71" t="n"/>
      <c r="S84" s="71" t="n"/>
      <c r="T84" s="71" t="n"/>
      <c r="U84" s="18" t="n"/>
      <c r="V84" s="19" t="n"/>
      <c r="W84" s="19" t="n"/>
      <c r="X84" s="20" t="n"/>
      <c r="Y84" s="3">
        <f>V84-W84</f>
        <v/>
      </c>
      <c r="Z84" s="3">
        <f>Y84*X84</f>
        <v/>
      </c>
      <c r="AA84" s="5">
        <f>4416/X84</f>
        <v/>
      </c>
      <c r="AB84" s="5">
        <f>-100+(100*AA84/Y84)</f>
        <v/>
      </c>
    </row>
    <row r="85" ht="15" customHeight="1">
      <c r="A85" s="49" t="n">
        <v>28</v>
      </c>
      <c r="C85" s="50" t="n">
        <v>0.4493055555555556</v>
      </c>
      <c r="D85" s="40" t="inlineStr">
        <is>
          <t>sound wav ~2min</t>
        </is>
      </c>
      <c r="E85" s="33" t="inlineStr">
        <is>
          <t>113/74/96</t>
        </is>
      </c>
      <c r="F85" s="40" t="inlineStr">
        <is>
          <t>ekg pdf ~30sec</t>
        </is>
      </c>
      <c r="G85" s="52" t="n">
        <v>21</v>
      </c>
      <c r="H85" s="48" t="n">
        <v>0.7</v>
      </c>
      <c r="I85" s="40" t="n">
        <v>1013</v>
      </c>
      <c r="J85" s="40" t="n">
        <v>36.5</v>
      </c>
      <c r="K85" s="48" t="n">
        <v>0.97</v>
      </c>
      <c r="L85" s="40" t="n">
        <v>98</v>
      </c>
      <c r="M85" s="75" t="inlineStr">
        <is>
          <t>126/81/89  SpO2 98% synus rhythm</t>
        </is>
      </c>
      <c r="N85" s="40" t="inlineStr">
        <is>
          <t>low stress</t>
        </is>
      </c>
      <c r="O85" s="73" t="n"/>
      <c r="P85" s="49" t="inlineStr">
        <is>
          <t>after 5 min smoking &amp; 1 beer</t>
        </is>
      </c>
      <c r="Q85" s="49" t="n">
        <v>5</v>
      </c>
      <c r="R85" s="49" t="n">
        <v>8</v>
      </c>
      <c r="S85" s="49" t="n">
        <v>9</v>
      </c>
      <c r="T85" s="49" t="inlineStr">
        <is>
          <t>sunny</t>
        </is>
      </c>
      <c r="U85" s="13" t="n"/>
      <c r="V85" s="14" t="n">
        <v>113</v>
      </c>
      <c r="W85" s="14" t="n">
        <v>74</v>
      </c>
      <c r="X85" s="15" t="n">
        <v>96</v>
      </c>
      <c r="Y85" s="3">
        <f>V85-W85</f>
        <v/>
      </c>
      <c r="Z85" s="3">
        <f>Y85*X85</f>
        <v/>
      </c>
      <c r="AA85" s="5">
        <f>4416/X85</f>
        <v/>
      </c>
      <c r="AB85" s="5">
        <f>-100+(100*AA85/Y85)</f>
        <v/>
      </c>
    </row>
    <row r="86">
      <c r="A86" s="70" t="n"/>
      <c r="B86" s="3" t="inlineStr">
        <is>
          <t>plus 2000 steps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0" t="n"/>
      <c r="T86" s="70" t="n"/>
      <c r="U86" s="16" t="n"/>
      <c r="X86" s="17" t="n"/>
      <c r="Y86" s="3">
        <f>V86-W86</f>
        <v/>
      </c>
      <c r="Z86" s="3">
        <f>Y86*X86</f>
        <v/>
      </c>
      <c r="AA86" s="5">
        <f>4416/X86</f>
        <v/>
      </c>
      <c r="AB86" s="5">
        <f>-100+(100*AA86/Y86)</f>
        <v/>
      </c>
    </row>
    <row r="87">
      <c r="A87" s="71" t="n"/>
      <c r="C87" s="71" t="n"/>
      <c r="D87" s="71" t="n"/>
      <c r="E87" s="71" t="n"/>
      <c r="F87" s="71" t="n"/>
      <c r="G87" s="71" t="n"/>
      <c r="H87" s="71" t="n"/>
      <c r="I87" s="71" t="n"/>
      <c r="J87" s="71" t="n"/>
      <c r="K87" s="71" t="n"/>
      <c r="L87" s="71" t="n"/>
      <c r="M87" s="71" t="n"/>
      <c r="N87" s="71" t="n"/>
      <c r="O87" s="71" t="n"/>
      <c r="P87" s="71" t="n"/>
      <c r="Q87" s="71" t="n"/>
      <c r="R87" s="71" t="n"/>
      <c r="S87" s="71" t="n"/>
      <c r="T87" s="71" t="n"/>
      <c r="U87" s="18" t="n"/>
      <c r="V87" s="19" t="n"/>
      <c r="W87" s="19" t="n"/>
      <c r="X87" s="20" t="n"/>
      <c r="Y87" s="3">
        <f>V87-W87</f>
        <v/>
      </c>
      <c r="Z87" s="3">
        <f>Y87*X87</f>
        <v/>
      </c>
      <c r="AA87" s="5">
        <f>4416/X87</f>
        <v/>
      </c>
      <c r="AB87" s="5">
        <f>-100+(100*AA87/Y87)</f>
        <v/>
      </c>
    </row>
    <row r="88" ht="15" customHeight="1">
      <c r="A88" s="49" t="n">
        <v>29</v>
      </c>
      <c r="C88" s="50" t="n">
        <v>0.5319444444444444</v>
      </c>
      <c r="D88" s="40" t="inlineStr">
        <is>
          <t>sound wav ~2min</t>
        </is>
      </c>
      <c r="E88" s="33" t="inlineStr">
        <is>
          <t>131/83/83</t>
        </is>
      </c>
      <c r="F88" s="40" t="inlineStr">
        <is>
          <t>ekg pdf ~30sec</t>
        </is>
      </c>
      <c r="G88" s="52" t="n">
        <v>20.7</v>
      </c>
      <c r="H88" s="48" t="n">
        <v>0.68</v>
      </c>
      <c r="I88" s="40" t="n">
        <v>1014</v>
      </c>
      <c r="J88" s="40" t="n">
        <v>36.3</v>
      </c>
      <c r="K88" s="48" t="n">
        <v>0.96</v>
      </c>
      <c r="L88" s="40" t="n">
        <v>84</v>
      </c>
      <c r="M88" s="75" t="inlineStr">
        <is>
          <t>131/86/96  SpO2 97% synus rhythm</t>
        </is>
      </c>
      <c r="N88" s="40" t="inlineStr">
        <is>
          <t>low stress</t>
        </is>
      </c>
      <c r="O88" s="73" t="n"/>
      <c r="P88" s="49" t="inlineStr">
        <is>
          <t>after 5 min smoking &amp; 1 beer</t>
        </is>
      </c>
      <c r="Q88" s="49" t="n">
        <v>5</v>
      </c>
      <c r="R88" s="49" t="n">
        <v>8</v>
      </c>
      <c r="S88" s="49" t="n">
        <v>10</v>
      </c>
      <c r="T88" s="49" t="inlineStr">
        <is>
          <t>cloudy</t>
        </is>
      </c>
      <c r="U88" s="13" t="n"/>
      <c r="V88" s="14" t="n">
        <v>131</v>
      </c>
      <c r="W88" s="14" t="n">
        <v>83</v>
      </c>
      <c r="X88" s="15" t="n">
        <v>83</v>
      </c>
      <c r="Y88" s="21">
        <f>V88-W88</f>
        <v/>
      </c>
      <c r="Z88" s="3">
        <f>Y88*X88</f>
        <v/>
      </c>
      <c r="AA88" s="5">
        <f>4416/X88</f>
        <v/>
      </c>
      <c r="AB88" s="5">
        <f>-100+(100*AA88/Y88)</f>
        <v/>
      </c>
    </row>
    <row r="89">
      <c r="A89" s="70" t="n"/>
      <c r="B89" s="3" t="inlineStr">
        <is>
          <t>plus 1000 steps</t>
        </is>
      </c>
      <c r="C89" s="70" t="n"/>
      <c r="D89" s="70" t="n"/>
      <c r="E89" s="70" t="n"/>
      <c r="F89" s="70" t="n"/>
      <c r="G89" s="70" t="n"/>
      <c r="H89" s="70" t="n"/>
      <c r="I89" s="70" t="n"/>
      <c r="J89" s="70" t="n"/>
      <c r="K89" s="70" t="n"/>
      <c r="L89" s="70" t="n"/>
      <c r="M89" s="70" t="n"/>
      <c r="N89" s="70" t="n"/>
      <c r="O89" s="70" t="n"/>
      <c r="P89" s="70" t="n"/>
      <c r="Q89" s="70" t="n"/>
      <c r="R89" s="70" t="n"/>
      <c r="S89" s="70" t="n"/>
      <c r="T89" s="70" t="n"/>
      <c r="U89" s="16" t="n"/>
      <c r="X89" s="17" t="n"/>
      <c r="Y89" s="3">
        <f>V89-W89</f>
        <v/>
      </c>
      <c r="Z89" s="3">
        <f>Y89*X89</f>
        <v/>
      </c>
      <c r="AA89" s="5">
        <f>4416/X89</f>
        <v/>
      </c>
      <c r="AB89" s="5">
        <f>-100+(100*AA89/Y89)</f>
        <v/>
      </c>
    </row>
    <row r="90">
      <c r="A90" s="71" t="n"/>
      <c r="C90" s="71" t="n"/>
      <c r="D90" s="71" t="n"/>
      <c r="E90" s="71" t="n"/>
      <c r="F90" s="71" t="n"/>
      <c r="G90" s="71" t="n"/>
      <c r="H90" s="71" t="n"/>
      <c r="I90" s="71" t="n"/>
      <c r="J90" s="71" t="n"/>
      <c r="K90" s="71" t="n"/>
      <c r="L90" s="71" t="n"/>
      <c r="M90" s="71" t="n"/>
      <c r="N90" s="71" t="n"/>
      <c r="O90" s="71" t="n"/>
      <c r="P90" s="71" t="n"/>
      <c r="Q90" s="71" t="n"/>
      <c r="R90" s="71" t="n"/>
      <c r="S90" s="71" t="n"/>
      <c r="T90" s="71" t="n"/>
      <c r="U90" s="18" t="n"/>
      <c r="V90" s="19" t="n"/>
      <c r="W90" s="19" t="n"/>
      <c r="X90" s="20" t="n"/>
      <c r="Y90" s="3">
        <f>V90-W90</f>
        <v/>
      </c>
      <c r="Z90" s="3">
        <f>Y90*X90</f>
        <v/>
      </c>
      <c r="AA90" s="5">
        <f>4416/X90</f>
        <v/>
      </c>
      <c r="AB90" s="5">
        <f>-100+(100*AA90/Y90)</f>
        <v/>
      </c>
    </row>
    <row r="91">
      <c r="A91" s="49" t="n">
        <v>30</v>
      </c>
      <c r="C91" s="50" t="n">
        <v>0.6305555555555555</v>
      </c>
      <c r="D91" s="40" t="inlineStr">
        <is>
          <t>sound wav ~2min</t>
        </is>
      </c>
      <c r="E91" s="33" t="inlineStr">
        <is>
          <t>129/82/92</t>
        </is>
      </c>
      <c r="F91" s="40" t="inlineStr">
        <is>
          <t>ekg pdf ~30sec</t>
        </is>
      </c>
      <c r="G91" s="52" t="n">
        <v>22.6</v>
      </c>
      <c r="H91" s="48" t="n">
        <v>0.59</v>
      </c>
      <c r="I91" s="40" t="n">
        <v>1013</v>
      </c>
      <c r="J91" s="40" t="n">
        <v>36.3</v>
      </c>
      <c r="K91" s="48" t="n">
        <v>0.97</v>
      </c>
      <c r="L91" s="40" t="n">
        <v>92</v>
      </c>
      <c r="M91" s="75" t="inlineStr">
        <is>
          <t>121/79/93  SpO2 96% synus rhythm</t>
        </is>
      </c>
      <c r="N91" s="40" t="inlineStr">
        <is>
          <t>low stress</t>
        </is>
      </c>
      <c r="O91" s="73" t="n"/>
      <c r="P91" s="49" t="inlineStr">
        <is>
          <t>after 5 min smoking &amp; 1 beer</t>
        </is>
      </c>
      <c r="Q91" s="49" t="n">
        <v>4</v>
      </c>
      <c r="R91" s="49" t="n">
        <v>7</v>
      </c>
      <c r="S91" s="49" t="n">
        <v>8</v>
      </c>
      <c r="T91" s="49" t="inlineStr">
        <is>
          <t>sunny</t>
        </is>
      </c>
      <c r="U91" s="13" t="n"/>
      <c r="V91" s="14" t="n">
        <v>129</v>
      </c>
      <c r="W91" s="14" t="n">
        <v>82</v>
      </c>
      <c r="X91" s="15" t="n">
        <v>92</v>
      </c>
      <c r="Y91" s="3">
        <f>V91-W91</f>
        <v/>
      </c>
      <c r="Z91" s="3">
        <f>Y91*X91</f>
        <v/>
      </c>
      <c r="AA91" s="5">
        <f>4416/X91</f>
        <v/>
      </c>
      <c r="AB91" s="5">
        <f>-100+(100*AA91/Y91)</f>
        <v/>
      </c>
    </row>
    <row r="92">
      <c r="A92" s="70" t="n"/>
      <c r="B92" s="3" t="inlineStr">
        <is>
          <t>plus 1000 steps</t>
        </is>
      </c>
      <c r="C92" s="70" t="n"/>
      <c r="D92" s="70" t="n"/>
      <c r="E92" s="70" t="n"/>
      <c r="F92" s="70" t="n"/>
      <c r="G92" s="70" t="n"/>
      <c r="H92" s="70" t="n"/>
      <c r="I92" s="70" t="n"/>
      <c r="J92" s="70" t="n"/>
      <c r="K92" s="70" t="n"/>
      <c r="L92" s="70" t="n"/>
      <c r="M92" s="70" t="n"/>
      <c r="N92" s="70" t="n"/>
      <c r="O92" s="70" t="n"/>
      <c r="P92" s="70" t="n"/>
      <c r="Q92" s="70" t="n"/>
      <c r="R92" s="70" t="n"/>
      <c r="S92" s="70" t="n"/>
      <c r="T92" s="70" t="n"/>
      <c r="U92" s="16" t="n"/>
      <c r="X92" s="17" t="n"/>
      <c r="Y92" s="3">
        <f>V92-W92</f>
        <v/>
      </c>
      <c r="Z92" s="3">
        <f>Y92*X92</f>
        <v/>
      </c>
      <c r="AA92" s="5">
        <f>4416/X92</f>
        <v/>
      </c>
      <c r="AB92" s="5">
        <f>-100+(100*AA92/Y92)</f>
        <v/>
      </c>
    </row>
    <row r="93">
      <c r="A93" s="71" t="n"/>
      <c r="C93" s="71" t="n"/>
      <c r="D93" s="71" t="n"/>
      <c r="E93" s="71" t="n"/>
      <c r="F93" s="71" t="n"/>
      <c r="G93" s="71" t="n"/>
      <c r="H93" s="71" t="n"/>
      <c r="I93" s="71" t="n"/>
      <c r="J93" s="71" t="n"/>
      <c r="K93" s="71" t="n"/>
      <c r="L93" s="71" t="n"/>
      <c r="M93" s="71" t="n"/>
      <c r="N93" s="71" t="n"/>
      <c r="O93" s="71" t="n"/>
      <c r="P93" s="71" t="n"/>
      <c r="Q93" s="71" t="n"/>
      <c r="R93" s="71" t="n"/>
      <c r="S93" s="71" t="n"/>
      <c r="T93" s="71" t="n"/>
      <c r="U93" s="18" t="n"/>
      <c r="V93" s="19" t="n"/>
      <c r="W93" s="19" t="n"/>
      <c r="X93" s="20" t="n"/>
      <c r="Y93" s="3">
        <f>V93-W93</f>
        <v/>
      </c>
      <c r="Z93" s="3">
        <f>Y93*X93</f>
        <v/>
      </c>
      <c r="AA93" s="5">
        <f>4416/X93</f>
        <v/>
      </c>
      <c r="AB93" s="5">
        <f>-100+(100*AA93/Y93)</f>
        <v/>
      </c>
    </row>
    <row r="94" ht="15" customHeight="1">
      <c r="A94" s="49" t="n">
        <v>31</v>
      </c>
      <c r="C94" s="50" t="n">
        <v>0.6784722222222223</v>
      </c>
      <c r="D94" s="40" t="inlineStr">
        <is>
          <t>sound wav ~2min</t>
        </is>
      </c>
      <c r="E94" s="33" t="inlineStr">
        <is>
          <t>123/76/85</t>
        </is>
      </c>
      <c r="F94" s="40" t="inlineStr">
        <is>
          <t>ekg pdf ~30sec</t>
        </is>
      </c>
      <c r="G94" s="52" t="n">
        <v>23.6</v>
      </c>
      <c r="H94" s="48" t="n">
        <v>0.51</v>
      </c>
      <c r="I94" s="40" t="n">
        <v>1013</v>
      </c>
      <c r="J94" s="40" t="n">
        <v>36.5</v>
      </c>
      <c r="K94" s="48" t="n">
        <v>0.95</v>
      </c>
      <c r="L94" s="40" t="n">
        <v>90</v>
      </c>
      <c r="M94" s="75" t="inlineStr">
        <is>
          <t>126/82/87  SpO2 94% synus rhythm</t>
        </is>
      </c>
      <c r="N94" s="40" t="inlineStr">
        <is>
          <t>low stress</t>
        </is>
      </c>
      <c r="O94" s="73" t="n"/>
      <c r="P94" s="49" t="inlineStr">
        <is>
          <t>after lunch &amp; office activities</t>
        </is>
      </c>
      <c r="Q94" s="49" t="n">
        <v>4</v>
      </c>
      <c r="R94" s="49" t="n">
        <v>7</v>
      </c>
      <c r="S94" s="49" t="n">
        <v>10</v>
      </c>
      <c r="T94" s="49" t="inlineStr">
        <is>
          <t>sunny</t>
        </is>
      </c>
      <c r="U94" s="13" t="n"/>
      <c r="V94" s="14" t="n">
        <v>123</v>
      </c>
      <c r="W94" s="14" t="n">
        <v>76</v>
      </c>
      <c r="X94" s="15" t="n">
        <v>85</v>
      </c>
      <c r="Y94" s="3">
        <f>V94-W94</f>
        <v/>
      </c>
      <c r="Z94" s="3">
        <f>Y94*X94</f>
        <v/>
      </c>
      <c r="AA94" s="5">
        <f>4416/X94</f>
        <v/>
      </c>
      <c r="AB94" s="5">
        <f>-100+(100*AA94/Y94)</f>
        <v/>
      </c>
    </row>
    <row r="95">
      <c r="A95" s="70" t="n"/>
      <c r="B95" s="3" t="inlineStr">
        <is>
          <t>plus 1000 steps</t>
        </is>
      </c>
      <c r="C95" s="70" t="n"/>
      <c r="D95" s="70" t="n"/>
      <c r="E95" s="70" t="n"/>
      <c r="F95" s="70" t="n"/>
      <c r="G95" s="70" t="n"/>
      <c r="H95" s="70" t="n"/>
      <c r="I95" s="70" t="n"/>
      <c r="J95" s="70" t="n"/>
      <c r="K95" s="70" t="n"/>
      <c r="L95" s="70" t="n"/>
      <c r="M95" s="70" t="n"/>
      <c r="N95" s="70" t="n"/>
      <c r="O95" s="70" t="n"/>
      <c r="P95" s="70" t="n"/>
      <c r="Q95" s="70" t="n"/>
      <c r="R95" s="70" t="n"/>
      <c r="S95" s="70" t="n"/>
      <c r="T95" s="70" t="n"/>
      <c r="U95" s="16" t="n"/>
      <c r="X95" s="17" t="n"/>
      <c r="Y95" s="3">
        <f>V95-W95</f>
        <v/>
      </c>
      <c r="Z95" s="3">
        <f>Y95*X95</f>
        <v/>
      </c>
      <c r="AA95" s="5">
        <f>4416/X95</f>
        <v/>
      </c>
      <c r="AB95" s="5">
        <f>-100+(100*AA95/Y95)</f>
        <v/>
      </c>
    </row>
    <row r="96">
      <c r="A96" s="71" t="n"/>
      <c r="C96" s="71" t="n"/>
      <c r="D96" s="71" t="n"/>
      <c r="E96" s="71" t="n"/>
      <c r="F96" s="71" t="n"/>
      <c r="G96" s="71" t="n"/>
      <c r="H96" s="71" t="n"/>
      <c r="I96" s="71" t="n"/>
      <c r="J96" s="71" t="n"/>
      <c r="K96" s="71" t="n"/>
      <c r="L96" s="71" t="n"/>
      <c r="M96" s="71" t="n"/>
      <c r="N96" s="71" t="n"/>
      <c r="O96" s="71" t="n"/>
      <c r="P96" s="71" t="n"/>
      <c r="Q96" s="71" t="n"/>
      <c r="R96" s="71" t="n"/>
      <c r="S96" s="71" t="n"/>
      <c r="T96" s="71" t="n"/>
      <c r="U96" s="18" t="n"/>
      <c r="V96" s="19" t="n"/>
      <c r="W96" s="19" t="n"/>
      <c r="X96" s="20" t="n"/>
      <c r="Y96" s="3">
        <f>V96-W96</f>
        <v/>
      </c>
      <c r="Z96" s="3">
        <f>Y96*X96</f>
        <v/>
      </c>
      <c r="AA96" s="5">
        <f>4416/X96</f>
        <v/>
      </c>
      <c r="AB96" s="5">
        <f>-100+(100*AA96/Y96)</f>
        <v/>
      </c>
    </row>
    <row r="97" ht="15" customHeight="1">
      <c r="A97" s="49" t="n">
        <v>32</v>
      </c>
      <c r="C97" s="50" t="n">
        <v>0.6909722222222222</v>
      </c>
      <c r="D97" s="40" t="inlineStr">
        <is>
          <t>sound wav ~2min</t>
        </is>
      </c>
      <c r="E97" s="33" t="inlineStr">
        <is>
          <t>124/79/90</t>
        </is>
      </c>
      <c r="F97" s="40" t="inlineStr">
        <is>
          <t>ekg pdf ~30sec</t>
        </is>
      </c>
      <c r="G97" s="52" t="n">
        <v>23.3</v>
      </c>
      <c r="H97" s="48" t="n">
        <v>0.52</v>
      </c>
      <c r="I97" s="40" t="n">
        <v>1013</v>
      </c>
      <c r="J97" s="40" t="n">
        <v>36</v>
      </c>
      <c r="K97" s="48" t="n">
        <v>0.96</v>
      </c>
      <c r="L97" s="40" t="n">
        <v>93</v>
      </c>
      <c r="M97" s="75" t="inlineStr">
        <is>
          <t>133/88/96  SpO2 96% synus rhythm</t>
        </is>
      </c>
      <c r="N97" s="40" t="inlineStr">
        <is>
          <t>low stress</t>
        </is>
      </c>
      <c r="O97" s="73" t="n"/>
      <c r="P97" s="49" t="inlineStr">
        <is>
          <t>after 10 min smoking</t>
        </is>
      </c>
      <c r="Q97" s="49" t="n">
        <v>4</v>
      </c>
      <c r="R97" s="49" t="n">
        <v>7</v>
      </c>
      <c r="S97" s="49" t="n">
        <v>8</v>
      </c>
      <c r="T97" s="49" t="inlineStr">
        <is>
          <t>sunny</t>
        </is>
      </c>
      <c r="U97" s="13" t="n"/>
      <c r="V97" s="14" t="n">
        <v>124</v>
      </c>
      <c r="W97" s="14" t="n">
        <v>79</v>
      </c>
      <c r="X97" s="15" t="n">
        <v>90</v>
      </c>
      <c r="Y97" s="3">
        <f>V97-W97</f>
        <v/>
      </c>
      <c r="Z97" s="3">
        <f>Y97*X97</f>
        <v/>
      </c>
      <c r="AA97" s="5">
        <f>4416/X97</f>
        <v/>
      </c>
      <c r="AB97" s="5">
        <f>-100+(100*AA97/Y97)</f>
        <v/>
      </c>
    </row>
    <row r="98">
      <c r="A98" s="70" t="n"/>
      <c r="B98" s="3" t="inlineStr">
        <is>
          <t>plus 200 steps</t>
        </is>
      </c>
      <c r="C98" s="70" t="n"/>
      <c r="D98" s="70" t="n"/>
      <c r="E98" s="70" t="n"/>
      <c r="F98" s="70" t="n"/>
      <c r="G98" s="70" t="n"/>
      <c r="H98" s="70" t="n"/>
      <c r="I98" s="70" t="n"/>
      <c r="J98" s="70" t="n"/>
      <c r="K98" s="70" t="n"/>
      <c r="L98" s="70" t="n"/>
      <c r="M98" s="70" t="n"/>
      <c r="N98" s="70" t="n"/>
      <c r="O98" s="70" t="n"/>
      <c r="P98" s="70" t="n"/>
      <c r="Q98" s="70" t="n"/>
      <c r="R98" s="70" t="n"/>
      <c r="S98" s="70" t="n"/>
      <c r="T98" s="70" t="n"/>
      <c r="U98" s="16" t="n"/>
      <c r="X98" s="17" t="n"/>
      <c r="Y98" s="3">
        <f>V98-W98</f>
        <v/>
      </c>
      <c r="Z98" s="3">
        <f>Y98*X98</f>
        <v/>
      </c>
      <c r="AA98" s="5">
        <f>4416/X98</f>
        <v/>
      </c>
      <c r="AB98" s="5">
        <f>-100+(100*AA98/Y98)</f>
        <v/>
      </c>
    </row>
    <row r="99">
      <c r="A99" s="71" t="n"/>
      <c r="C99" s="71" t="n"/>
      <c r="D99" s="71" t="n"/>
      <c r="E99" s="71" t="n"/>
      <c r="F99" s="71" t="n"/>
      <c r="G99" s="71" t="n"/>
      <c r="H99" s="71" t="n"/>
      <c r="I99" s="71" t="n"/>
      <c r="J99" s="71" t="n"/>
      <c r="K99" s="71" t="n"/>
      <c r="L99" s="71" t="n"/>
      <c r="M99" s="71" t="n"/>
      <c r="N99" s="71" t="n"/>
      <c r="O99" s="71" t="n"/>
      <c r="P99" s="71" t="n"/>
      <c r="Q99" s="71" t="n"/>
      <c r="R99" s="71" t="n"/>
      <c r="S99" s="71" t="n"/>
      <c r="T99" s="71" t="n"/>
      <c r="U99" s="18" t="n"/>
      <c r="V99" s="19" t="n"/>
      <c r="W99" s="19" t="n"/>
      <c r="X99" s="20" t="n"/>
      <c r="Y99" s="3">
        <f>V99-W99</f>
        <v/>
      </c>
      <c r="Z99" s="3">
        <f>Y99*X99</f>
        <v/>
      </c>
      <c r="AA99" s="5">
        <f>4416/X99</f>
        <v/>
      </c>
      <c r="AB99" s="5">
        <f>-100+(100*AA99/Y99)</f>
        <v/>
      </c>
    </row>
    <row r="100" ht="15" customHeight="1">
      <c r="A100" s="49" t="n">
        <v>33</v>
      </c>
      <c r="C100" s="50" t="n">
        <v>0.7215277777777778</v>
      </c>
      <c r="D100" s="40" t="inlineStr">
        <is>
          <t>sound wav ~2min</t>
        </is>
      </c>
      <c r="E100" s="33" t="inlineStr">
        <is>
          <t>120/77/92</t>
        </is>
      </c>
      <c r="F100" s="40" t="inlineStr">
        <is>
          <t>ekg pdf ~30sec</t>
        </is>
      </c>
      <c r="G100" s="52" t="n">
        <v>23.1</v>
      </c>
      <c r="H100" s="48" t="n">
        <v>0.52</v>
      </c>
      <c r="I100" s="40" t="n">
        <v>1013</v>
      </c>
      <c r="J100" s="40" t="n">
        <v>36.3</v>
      </c>
      <c r="K100" s="48" t="n">
        <v>0.96</v>
      </c>
      <c r="L100" s="40" t="n">
        <v>94</v>
      </c>
      <c r="M100" s="75" t="inlineStr">
        <is>
          <t>124/80/101  SpO2 97% synus rhythm</t>
        </is>
      </c>
      <c r="N100" s="40" t="inlineStr">
        <is>
          <t>medium stress</t>
        </is>
      </c>
      <c r="O100" s="73" t="n"/>
      <c r="P100" s="49" t="inlineStr">
        <is>
          <t>after 5 min smoking &amp; 1 beer</t>
        </is>
      </c>
      <c r="Q100" s="49" t="n">
        <v>5</v>
      </c>
      <c r="R100" s="49" t="n">
        <v>8</v>
      </c>
      <c r="S100" s="49" t="n">
        <v>10</v>
      </c>
      <c r="T100" s="49" t="inlineStr">
        <is>
          <t>sunny</t>
        </is>
      </c>
      <c r="U100" s="13" t="n"/>
      <c r="V100" s="14" t="n">
        <v>120</v>
      </c>
      <c r="W100" s="14" t="n">
        <v>77</v>
      </c>
      <c r="X100" s="15" t="n">
        <v>92</v>
      </c>
      <c r="Y100" s="3">
        <f>V100-W100</f>
        <v/>
      </c>
      <c r="Z100" s="3">
        <f>Y100*X100</f>
        <v/>
      </c>
      <c r="AA100" s="5">
        <f>4416/X100</f>
        <v/>
      </c>
      <c r="AB100" s="5">
        <f>-100+(100*AA100/Y100)</f>
        <v/>
      </c>
    </row>
    <row r="101">
      <c r="A101" s="70" t="n"/>
      <c r="C101" s="70" t="n"/>
      <c r="D101" s="70" t="n"/>
      <c r="E101" s="70" t="n"/>
      <c r="F101" s="70" t="n"/>
      <c r="G101" s="70" t="n"/>
      <c r="H101" s="70" t="n"/>
      <c r="I101" s="70" t="n"/>
      <c r="J101" s="70" t="n"/>
      <c r="K101" s="70" t="n"/>
      <c r="L101" s="70" t="n"/>
      <c r="M101" s="70" t="n"/>
      <c r="N101" s="70" t="n"/>
      <c r="O101" s="70" t="n"/>
      <c r="P101" s="70" t="n"/>
      <c r="Q101" s="70" t="n"/>
      <c r="R101" s="70" t="n"/>
      <c r="S101" s="70" t="n"/>
      <c r="T101" s="70" t="n"/>
      <c r="U101" s="16" t="n"/>
      <c r="X101" s="17" t="n"/>
      <c r="Y101" s="3">
        <f>V101-W101</f>
        <v/>
      </c>
      <c r="Z101" s="3">
        <f>Y101*X101</f>
        <v/>
      </c>
      <c r="AA101" s="5">
        <f>4416/X101</f>
        <v/>
      </c>
      <c r="AB101" s="5">
        <f>-100+(100*AA101/Y101)</f>
        <v/>
      </c>
    </row>
    <row r="102">
      <c r="A102" s="71" t="n"/>
      <c r="C102" s="71" t="n"/>
      <c r="D102" s="71" t="n"/>
      <c r="E102" s="71" t="n"/>
      <c r="F102" s="71" t="n"/>
      <c r="G102" s="71" t="n"/>
      <c r="H102" s="71" t="n"/>
      <c r="I102" s="71" t="n"/>
      <c r="J102" s="71" t="n"/>
      <c r="K102" s="71" t="n"/>
      <c r="L102" s="71" t="n"/>
      <c r="M102" s="71" t="n"/>
      <c r="N102" s="71" t="n"/>
      <c r="O102" s="71" t="n"/>
      <c r="P102" s="71" t="n"/>
      <c r="Q102" s="71" t="n"/>
      <c r="R102" s="71" t="n"/>
      <c r="S102" s="71" t="n"/>
      <c r="T102" s="71" t="n"/>
      <c r="U102" s="18" t="n"/>
      <c r="V102" s="19" t="n"/>
      <c r="W102" s="19" t="n"/>
      <c r="X102" s="20" t="n"/>
      <c r="Y102" s="3">
        <f>V102-W102</f>
        <v/>
      </c>
      <c r="Z102" s="3">
        <f>Y102*X102</f>
        <v/>
      </c>
      <c r="AA102" s="5">
        <f>4416/X102</f>
        <v/>
      </c>
      <c r="AB102" s="5">
        <f>-100+(100*AA102/Y102)</f>
        <v/>
      </c>
    </row>
    <row r="103">
      <c r="A103" s="49" t="n">
        <v>34</v>
      </c>
      <c r="C103" s="50" t="n">
        <v>0.90625</v>
      </c>
      <c r="D103" s="40" t="inlineStr">
        <is>
          <t>sound wav ~2min</t>
        </is>
      </c>
      <c r="E103" s="33" t="inlineStr">
        <is>
          <t>129/85/82</t>
        </is>
      </c>
      <c r="F103" s="40" t="inlineStr">
        <is>
          <t>ekg pdf ~30sec</t>
        </is>
      </c>
      <c r="G103" s="52" t="n">
        <v>17.3</v>
      </c>
      <c r="H103" s="48" t="n">
        <v>0.73</v>
      </c>
      <c r="I103" s="40" t="n">
        <v>1013</v>
      </c>
      <c r="J103" s="40" t="n">
        <v>36.5</v>
      </c>
      <c r="K103" s="48" t="n">
        <v>0.98</v>
      </c>
      <c r="L103" s="40" t="n">
        <v>85</v>
      </c>
      <c r="M103" s="75" t="inlineStr">
        <is>
          <t>126/80/85  SpO2 96% synus rhythm</t>
        </is>
      </c>
      <c r="N103" s="40" t="inlineStr">
        <is>
          <t>low stress</t>
        </is>
      </c>
      <c r="O103" s="73" t="n"/>
      <c r="P103" s="49" t="inlineStr">
        <is>
          <t>after 5 min smoking &amp; 1 beer</t>
        </is>
      </c>
      <c r="Q103" s="49" t="n">
        <v>5</v>
      </c>
      <c r="R103" s="49" t="n">
        <v>9</v>
      </c>
      <c r="S103" s="49" t="n">
        <v>10</v>
      </c>
      <c r="T103" s="49" t="inlineStr">
        <is>
          <t>clear</t>
        </is>
      </c>
      <c r="U103" s="13" t="n"/>
      <c r="V103" s="14" t="n">
        <v>129</v>
      </c>
      <c r="W103" s="14" t="n">
        <v>85</v>
      </c>
      <c r="X103" s="15" t="n">
        <v>82</v>
      </c>
      <c r="Y103" s="3">
        <f>V103-W103</f>
        <v/>
      </c>
      <c r="Z103" s="3">
        <f>Y103*X103</f>
        <v/>
      </c>
      <c r="AA103" s="5">
        <f>4416/X103</f>
        <v/>
      </c>
      <c r="AB103" s="5">
        <f>-100+(100*AA103/Y103)</f>
        <v/>
      </c>
    </row>
    <row r="104">
      <c r="A104" s="70" t="n"/>
      <c r="B104" s="3" t="inlineStr">
        <is>
          <t>plus 4300 steps</t>
        </is>
      </c>
      <c r="C104" s="70" t="n"/>
      <c r="D104" s="70" t="n"/>
      <c r="E104" s="70" t="n"/>
      <c r="F104" s="70" t="n"/>
      <c r="G104" s="70" t="n"/>
      <c r="H104" s="70" t="n"/>
      <c r="I104" s="70" t="n"/>
      <c r="J104" s="70" t="n"/>
      <c r="K104" s="70" t="n"/>
      <c r="L104" s="70" t="n"/>
      <c r="M104" s="70" t="n"/>
      <c r="N104" s="70" t="n"/>
      <c r="O104" s="70" t="n"/>
      <c r="P104" s="70" t="n"/>
      <c r="Q104" s="70" t="n"/>
      <c r="R104" s="70" t="n"/>
      <c r="S104" s="70" t="n"/>
      <c r="T104" s="70" t="n"/>
      <c r="U104" s="16" t="n"/>
      <c r="X104" s="17" t="n"/>
      <c r="Y104" s="3">
        <f>V104-W104</f>
        <v/>
      </c>
      <c r="Z104" s="3">
        <f>Y104*X104</f>
        <v/>
      </c>
      <c r="AA104" s="5">
        <f>4416/X104</f>
        <v/>
      </c>
      <c r="AB104" s="5">
        <f>-100+(100*AA104/Y104)</f>
        <v/>
      </c>
    </row>
    <row r="105">
      <c r="A105" s="71" t="n"/>
      <c r="C105" s="71" t="n"/>
      <c r="D105" s="71" t="n"/>
      <c r="E105" s="71" t="n"/>
      <c r="F105" s="71" t="n"/>
      <c r="G105" s="71" t="n"/>
      <c r="H105" s="71" t="n"/>
      <c r="I105" s="71" t="n"/>
      <c r="J105" s="71" t="n"/>
      <c r="K105" s="71" t="n"/>
      <c r="L105" s="71" t="n"/>
      <c r="M105" s="71" t="n"/>
      <c r="N105" s="71" t="n"/>
      <c r="O105" s="71" t="n"/>
      <c r="P105" s="71" t="n"/>
      <c r="Q105" s="71" t="n"/>
      <c r="R105" s="71" t="n"/>
      <c r="S105" s="71" t="n"/>
      <c r="T105" s="71" t="n"/>
      <c r="U105" s="18" t="n"/>
      <c r="V105" s="19" t="n"/>
      <c r="W105" s="19" t="n"/>
      <c r="X105" s="20" t="n"/>
      <c r="Y105" s="3">
        <f>V105-W105</f>
        <v/>
      </c>
      <c r="Z105" s="3">
        <f>Y105*X105</f>
        <v/>
      </c>
      <c r="AA105" s="5">
        <f>4416/X105</f>
        <v/>
      </c>
      <c r="AB105" s="5">
        <f>-100+(100*AA105/Y105)</f>
        <v/>
      </c>
    </row>
    <row r="106" ht="34.5" customHeight="1">
      <c r="A106" s="49" t="n">
        <v>35</v>
      </c>
      <c r="B106" s="1" t="inlineStr">
        <is>
          <t>8:32 h sleep / sleep score 78 (REM 32% light 50% deep 12% awake 6%)</t>
        </is>
      </c>
      <c r="C106" s="50" t="n">
        <v>0.3729166666666667</v>
      </c>
      <c r="D106" s="40" t="inlineStr">
        <is>
          <t>sound wav ~2min</t>
        </is>
      </c>
      <c r="E106" s="33" t="inlineStr">
        <is>
          <t>138/86/86</t>
        </is>
      </c>
      <c r="F106" s="40" t="inlineStr">
        <is>
          <t>ekg pdf ~30sec</t>
        </is>
      </c>
      <c r="G106" s="52" t="n">
        <v>15.6</v>
      </c>
      <c r="H106" s="48" t="n">
        <v>0.83</v>
      </c>
      <c r="I106" s="40" t="n">
        <v>1014</v>
      </c>
      <c r="J106" s="40" t="n">
        <v>36.4</v>
      </c>
      <c r="K106" s="48" t="n">
        <v>0.97</v>
      </c>
      <c r="L106" s="40" t="n">
        <v>83</v>
      </c>
      <c r="M106" s="75" t="inlineStr">
        <is>
          <t>123/80/99  SpO2 95% synus rhythm</t>
        </is>
      </c>
      <c r="N106" s="40" t="inlineStr">
        <is>
          <t>low stress</t>
        </is>
      </c>
      <c r="O106" s="73" t="n"/>
      <c r="P106" s="49" t="inlineStr">
        <is>
          <t>after 5 min smoking &amp; coffee</t>
        </is>
      </c>
      <c r="Q106" s="49" t="n">
        <v>15</v>
      </c>
      <c r="R106" s="49" t="n">
        <v>19</v>
      </c>
      <c r="S106" s="49" t="n">
        <v>35</v>
      </c>
      <c r="T106" s="49" t="inlineStr">
        <is>
          <t>sunny</t>
        </is>
      </c>
      <c r="U106" s="13" t="inlineStr">
        <is>
          <t>wake up at 7:30</t>
        </is>
      </c>
      <c r="V106" s="14" t="n">
        <v>138</v>
      </c>
      <c r="W106" s="14" t="n">
        <v>86</v>
      </c>
      <c r="X106" s="15" t="n">
        <v>86</v>
      </c>
      <c r="Y106" s="3">
        <f>V106-W106</f>
        <v/>
      </c>
      <c r="Z106" s="3">
        <f>Y106*X106</f>
        <v/>
      </c>
      <c r="AA106" s="5">
        <f>4416/X106</f>
        <v/>
      </c>
      <c r="AB106" s="5">
        <f>-100+(100*AA106/Y106)</f>
        <v/>
      </c>
    </row>
    <row r="107">
      <c r="A107" s="70" t="n"/>
      <c r="B107" s="4" t="inlineStr">
        <is>
          <t>25 iul 2021</t>
        </is>
      </c>
      <c r="C107" s="70" t="n"/>
      <c r="D107" s="70" t="n"/>
      <c r="E107" s="70" t="n"/>
      <c r="F107" s="70" t="n"/>
      <c r="G107" s="70" t="n"/>
      <c r="H107" s="70" t="n"/>
      <c r="I107" s="70" t="n"/>
      <c r="J107" s="70" t="n"/>
      <c r="K107" s="70" t="n"/>
      <c r="L107" s="70" t="n"/>
      <c r="M107" s="70" t="n"/>
      <c r="N107" s="70" t="n"/>
      <c r="O107" s="70" t="n"/>
      <c r="P107" s="70" t="n"/>
      <c r="Q107" s="70" t="n"/>
      <c r="R107" s="70" t="n"/>
      <c r="S107" s="70" t="n"/>
      <c r="T107" s="70" t="n"/>
      <c r="U107" s="16" t="inlineStr">
        <is>
          <t>after pills</t>
        </is>
      </c>
      <c r="X107" s="17" t="n"/>
      <c r="Y107" s="3">
        <f>V107-W107</f>
        <v/>
      </c>
      <c r="Z107" s="3">
        <f>Y107*X107</f>
        <v/>
      </c>
      <c r="AA107" s="5">
        <f>4416/X107</f>
        <v/>
      </c>
      <c r="AB107" s="5">
        <f>-100+(100*AA107/Y107)</f>
        <v/>
      </c>
    </row>
    <row r="108">
      <c r="A108" s="71" t="n"/>
      <c r="B108" s="1" t="inlineStr">
        <is>
          <t>total 9500 steps</t>
        </is>
      </c>
      <c r="C108" s="71" t="n"/>
      <c r="D108" s="71" t="n"/>
      <c r="E108" s="71" t="n"/>
      <c r="F108" s="71" t="n"/>
      <c r="G108" s="71" t="n"/>
      <c r="H108" s="71" t="n"/>
      <c r="I108" s="71" t="n"/>
      <c r="J108" s="71" t="n"/>
      <c r="K108" s="71" t="n"/>
      <c r="L108" s="71" t="n"/>
      <c r="M108" s="71" t="n"/>
      <c r="N108" s="71" t="n"/>
      <c r="O108" s="71" t="n"/>
      <c r="P108" s="71" t="n"/>
      <c r="Q108" s="71" t="n"/>
      <c r="R108" s="71" t="n"/>
      <c r="S108" s="71" t="n"/>
      <c r="T108" s="71" t="n"/>
      <c r="U108" s="18" t="n"/>
      <c r="V108" s="19" t="n"/>
      <c r="W108" s="19" t="n"/>
      <c r="X108" s="20" t="n"/>
      <c r="Y108" s="3">
        <f>V108-W108</f>
        <v/>
      </c>
      <c r="Z108" s="3">
        <f>Y108*X108</f>
        <v/>
      </c>
      <c r="AA108" s="5">
        <f>4416/X108</f>
        <v/>
      </c>
      <c r="AB108" s="5">
        <f>-100+(100*AA108/Y108)</f>
        <v/>
      </c>
    </row>
    <row r="109" ht="15" customHeight="1">
      <c r="A109" s="49" t="n">
        <v>36</v>
      </c>
      <c r="C109" s="50" t="n">
        <v>0.7236111111111111</v>
      </c>
      <c r="D109" s="40" t="inlineStr">
        <is>
          <t>sound wav ~2min</t>
        </is>
      </c>
      <c r="E109" s="33" t="inlineStr">
        <is>
          <t>122/78/94</t>
        </is>
      </c>
      <c r="F109" s="40" t="inlineStr">
        <is>
          <t>ekg pdf ~30sec</t>
        </is>
      </c>
      <c r="G109" s="52" t="n">
        <v>26.4</v>
      </c>
      <c r="H109" s="48" t="n">
        <v>0.49</v>
      </c>
      <c r="I109" s="40" t="n">
        <v>1014</v>
      </c>
      <c r="J109" s="40" t="n">
        <v>36</v>
      </c>
      <c r="K109" s="48" t="n">
        <v>0.9399999999999999</v>
      </c>
      <c r="L109" s="40" t="n">
        <v>96</v>
      </c>
      <c r="M109" s="75" t="inlineStr">
        <is>
          <t>126/80/86  SpO2 97% synus rhythm</t>
        </is>
      </c>
      <c r="N109" s="40" t="inlineStr">
        <is>
          <t>medium stress</t>
        </is>
      </c>
      <c r="O109" s="73" t="n"/>
      <c r="P109" s="49" t="inlineStr">
        <is>
          <t>after lunch &amp; office activities</t>
        </is>
      </c>
      <c r="Q109" s="49" t="n">
        <v>8</v>
      </c>
      <c r="R109" s="49" t="n">
        <v>12</v>
      </c>
      <c r="S109" s="49" t="n">
        <v>14</v>
      </c>
      <c r="T109" s="49" t="inlineStr">
        <is>
          <t>sunny</t>
        </is>
      </c>
      <c r="U109" s="13" t="n"/>
      <c r="V109" s="14" t="n">
        <v>122</v>
      </c>
      <c r="W109" s="14" t="n">
        <v>78</v>
      </c>
      <c r="X109" s="15" t="n">
        <v>94</v>
      </c>
      <c r="Y109" s="3">
        <f>V109-W109</f>
        <v/>
      </c>
      <c r="Z109" s="3">
        <f>Y109*X109</f>
        <v/>
      </c>
      <c r="AA109" s="5">
        <f>4416/X109</f>
        <v/>
      </c>
      <c r="AB109" s="5">
        <f>-100+(100*AA109/Y109)</f>
        <v/>
      </c>
    </row>
    <row r="110">
      <c r="A110" s="70" t="n"/>
      <c r="B110" s="3" t="inlineStr">
        <is>
          <t>plus 5000 steps</t>
        </is>
      </c>
      <c r="C110" s="70" t="n"/>
      <c r="D110" s="70" t="n"/>
      <c r="E110" s="70" t="n"/>
      <c r="F110" s="70" t="n"/>
      <c r="G110" s="70" t="n"/>
      <c r="H110" s="70" t="n"/>
      <c r="I110" s="70" t="n"/>
      <c r="J110" s="70" t="n"/>
      <c r="K110" s="70" t="n"/>
      <c r="L110" s="70" t="n"/>
      <c r="M110" s="70" t="n"/>
      <c r="N110" s="70" t="n"/>
      <c r="O110" s="70" t="n"/>
      <c r="P110" s="70" t="n"/>
      <c r="Q110" s="70" t="n"/>
      <c r="R110" s="70" t="n"/>
      <c r="S110" s="70" t="n"/>
      <c r="T110" s="70" t="n"/>
      <c r="U110" s="16" t="n"/>
      <c r="X110" s="17" t="n"/>
      <c r="Y110" s="3">
        <f>V110-W110</f>
        <v/>
      </c>
      <c r="Z110" s="3">
        <f>Y110*X110</f>
        <v/>
      </c>
      <c r="AA110" s="5">
        <f>4416/X110</f>
        <v/>
      </c>
      <c r="AB110" s="5">
        <f>-100+(100*AA110/Y110)</f>
        <v/>
      </c>
    </row>
    <row r="111">
      <c r="A111" s="71" t="n"/>
      <c r="C111" s="71" t="n"/>
      <c r="D111" s="71" t="n"/>
      <c r="E111" s="71" t="n"/>
      <c r="F111" s="71" t="n"/>
      <c r="G111" s="71" t="n"/>
      <c r="H111" s="71" t="n"/>
      <c r="I111" s="71" t="n"/>
      <c r="J111" s="71" t="n"/>
      <c r="K111" s="71" t="n"/>
      <c r="L111" s="71" t="n"/>
      <c r="M111" s="71" t="n"/>
      <c r="N111" s="71" t="n"/>
      <c r="O111" s="71" t="n"/>
      <c r="P111" s="71" t="n"/>
      <c r="Q111" s="71" t="n"/>
      <c r="R111" s="71" t="n"/>
      <c r="S111" s="71" t="n"/>
      <c r="T111" s="71" t="n"/>
      <c r="U111" s="18" t="n"/>
      <c r="V111" s="19" t="n"/>
      <c r="W111" s="19" t="n"/>
      <c r="X111" s="20" t="n"/>
      <c r="Y111" s="3">
        <f>V111-W111</f>
        <v/>
      </c>
      <c r="Z111" s="3">
        <f>Y111*X111</f>
        <v/>
      </c>
      <c r="AA111" s="5">
        <f>4416/X111</f>
        <v/>
      </c>
      <c r="AB111" s="5">
        <f>-100+(100*AA111/Y111)</f>
        <v/>
      </c>
    </row>
    <row r="112" ht="15" customHeight="1">
      <c r="A112" s="49" t="n">
        <v>37</v>
      </c>
      <c r="C112" s="50" t="n">
        <v>0.8215277777777777</v>
      </c>
      <c r="D112" s="40" t="inlineStr">
        <is>
          <t>sound wav ~2min</t>
        </is>
      </c>
      <c r="E112" s="33" t="inlineStr">
        <is>
          <t>119/82/96</t>
        </is>
      </c>
      <c r="F112" s="40" t="inlineStr">
        <is>
          <t>ekg pdf ~30sec</t>
        </is>
      </c>
      <c r="G112" s="52" t="n">
        <v>22.6</v>
      </c>
      <c r="H112" s="48" t="n">
        <v>0.65</v>
      </c>
      <c r="I112" s="40" t="n">
        <v>1013</v>
      </c>
      <c r="J112" s="40" t="n">
        <v>36.5</v>
      </c>
      <c r="K112" s="48" t="n">
        <v>0.97</v>
      </c>
      <c r="L112" s="40" t="n">
        <v>95</v>
      </c>
      <c r="M112" s="75" t="inlineStr">
        <is>
          <t>132/86/96  SpO2 96% synus rhythm</t>
        </is>
      </c>
      <c r="N112" s="40" t="inlineStr">
        <is>
          <t>low stress</t>
        </is>
      </c>
      <c r="O112" s="73" t="n"/>
      <c r="P112" s="49" t="inlineStr">
        <is>
          <t>after 10 min smoking</t>
        </is>
      </c>
      <c r="Q112" s="49" t="n">
        <v>8</v>
      </c>
      <c r="R112" s="49" t="n">
        <v>13</v>
      </c>
      <c r="S112" s="49" t="n">
        <v>19</v>
      </c>
      <c r="T112" s="49" t="inlineStr">
        <is>
          <t>sunny</t>
        </is>
      </c>
      <c r="U112" s="13" t="n"/>
      <c r="V112" s="14" t="n">
        <v>119</v>
      </c>
      <c r="W112" s="14" t="n">
        <v>82</v>
      </c>
      <c r="X112" s="15" t="n">
        <v>96</v>
      </c>
      <c r="Y112" s="3">
        <f>V112-W112</f>
        <v/>
      </c>
      <c r="Z112" s="3">
        <f>Y112*X112</f>
        <v/>
      </c>
      <c r="AA112" s="5">
        <f>4416/X112</f>
        <v/>
      </c>
      <c r="AB112" s="5">
        <f>-100+(100*AA112/Y112)</f>
        <v/>
      </c>
    </row>
    <row r="113">
      <c r="A113" s="70" t="n"/>
      <c r="B113" s="3" t="inlineStr">
        <is>
          <t>plus 6000 steps</t>
        </is>
      </c>
      <c r="C113" s="70" t="n"/>
      <c r="D113" s="70" t="n"/>
      <c r="E113" s="70" t="n"/>
      <c r="F113" s="70" t="n"/>
      <c r="G113" s="70" t="n"/>
      <c r="H113" s="70" t="n"/>
      <c r="I113" s="70" t="n"/>
      <c r="J113" s="70" t="n"/>
      <c r="K113" s="70" t="n"/>
      <c r="L113" s="70" t="n"/>
      <c r="M113" s="70" t="n"/>
      <c r="N113" s="70" t="n"/>
      <c r="O113" s="70" t="n"/>
      <c r="P113" s="70" t="n"/>
      <c r="Q113" s="70" t="n"/>
      <c r="R113" s="70" t="n"/>
      <c r="S113" s="70" t="n"/>
      <c r="T113" s="70" t="n"/>
      <c r="U113" s="16" t="n"/>
      <c r="X113" s="17" t="n"/>
      <c r="Y113" s="3">
        <f>V113-W113</f>
        <v/>
      </c>
      <c r="Z113" s="3">
        <f>Y113*X113</f>
        <v/>
      </c>
      <c r="AA113" s="5">
        <f>4416/X113</f>
        <v/>
      </c>
      <c r="AB113" s="5">
        <f>-100+(100*AA113/Y113)</f>
        <v/>
      </c>
    </row>
    <row r="114">
      <c r="A114" s="71" t="n"/>
      <c r="C114" s="71" t="n"/>
      <c r="D114" s="71" t="n"/>
      <c r="E114" s="71" t="n"/>
      <c r="F114" s="71" t="n"/>
      <c r="G114" s="71" t="n"/>
      <c r="H114" s="71" t="n"/>
      <c r="I114" s="71" t="n"/>
      <c r="J114" s="71" t="n"/>
      <c r="K114" s="71" t="n"/>
      <c r="L114" s="71" t="n"/>
      <c r="M114" s="71" t="n"/>
      <c r="N114" s="71" t="n"/>
      <c r="O114" s="71" t="n"/>
      <c r="P114" s="71" t="n"/>
      <c r="Q114" s="71" t="n"/>
      <c r="R114" s="71" t="n"/>
      <c r="S114" s="71" t="n"/>
      <c r="T114" s="71" t="n"/>
      <c r="U114" s="18" t="n"/>
      <c r="V114" s="19" t="n"/>
      <c r="W114" s="19" t="n"/>
      <c r="X114" s="20" t="n"/>
      <c r="Y114" s="3">
        <f>V114-W114</f>
        <v/>
      </c>
      <c r="Z114" s="3">
        <f>Y114*X114</f>
        <v/>
      </c>
      <c r="AA114" s="5">
        <f>4416/X114</f>
        <v/>
      </c>
      <c r="AB114" s="5">
        <f>-100+(100*AA114/Y114)</f>
        <v/>
      </c>
    </row>
    <row r="115">
      <c r="A115" s="49" t="n">
        <v>38</v>
      </c>
      <c r="C115" s="50" t="n">
        <v>0.8472222222222222</v>
      </c>
      <c r="D115" s="40" t="inlineStr">
        <is>
          <t>sound wav ~2min</t>
        </is>
      </c>
      <c r="E115" s="33" t="inlineStr">
        <is>
          <t>122/80/92</t>
        </is>
      </c>
      <c r="F115" s="40" t="inlineStr">
        <is>
          <t>ekg pdf ~30sec</t>
        </is>
      </c>
      <c r="G115" s="52" t="n">
        <v>21.5</v>
      </c>
      <c r="H115" s="48" t="n">
        <v>0.65</v>
      </c>
      <c r="I115" s="40" t="n">
        <v>1014</v>
      </c>
      <c r="J115" s="40" t="n">
        <v>36.3</v>
      </c>
      <c r="K115" s="48" t="n">
        <v>0.96</v>
      </c>
      <c r="L115" s="40" t="n">
        <v>93</v>
      </c>
      <c r="M115" s="75" t="inlineStr">
        <is>
          <t>126/82/93  SpO2 97%</t>
        </is>
      </c>
      <c r="N115" s="40" t="inlineStr">
        <is>
          <t>low stress</t>
        </is>
      </c>
      <c r="O115" s="73" t="n"/>
      <c r="P115" s="49" t="inlineStr">
        <is>
          <t>30 min no smoking</t>
        </is>
      </c>
      <c r="Q115" s="49" t="n">
        <v>11</v>
      </c>
      <c r="R115" s="49" t="n">
        <v>14</v>
      </c>
      <c r="S115" s="49" t="n">
        <v>21</v>
      </c>
      <c r="T115" s="49" t="inlineStr">
        <is>
          <t>clear</t>
        </is>
      </c>
      <c r="U115" s="13" t="n"/>
      <c r="V115" s="14" t="n">
        <v>122</v>
      </c>
      <c r="W115" s="14" t="n">
        <v>80</v>
      </c>
      <c r="X115" s="15" t="n">
        <v>92</v>
      </c>
      <c r="Y115" s="3">
        <f>V115-W115</f>
        <v/>
      </c>
      <c r="Z115" s="3">
        <f>Y115*X115</f>
        <v/>
      </c>
      <c r="AA115" s="5">
        <f>4416/X115</f>
        <v/>
      </c>
      <c r="AB115" s="5">
        <f>-100+(100*AA115/Y115)</f>
        <v/>
      </c>
    </row>
    <row r="116">
      <c r="A116" s="70" t="n"/>
      <c r="C116" s="70" t="n"/>
      <c r="D116" s="70" t="n"/>
      <c r="E116" s="70" t="n"/>
      <c r="F116" s="70" t="n"/>
      <c r="G116" s="70" t="n"/>
      <c r="H116" s="70" t="n"/>
      <c r="I116" s="70" t="n"/>
      <c r="J116" s="70" t="n"/>
      <c r="K116" s="70" t="n"/>
      <c r="L116" s="70" t="n"/>
      <c r="M116" s="70" t="n"/>
      <c r="N116" s="70" t="n"/>
      <c r="O116" s="70" t="n"/>
      <c r="P116" s="70" t="n"/>
      <c r="Q116" s="70" t="n"/>
      <c r="R116" s="70" t="n"/>
      <c r="S116" s="70" t="n"/>
      <c r="T116" s="70" t="n"/>
      <c r="U116" s="16" t="n"/>
      <c r="X116" s="17" t="n"/>
      <c r="Y116" s="3">
        <f>V116-W116</f>
        <v/>
      </c>
      <c r="Z116" s="3">
        <f>Y116*X116</f>
        <v/>
      </c>
      <c r="AA116" s="5">
        <f>4416/X116</f>
        <v/>
      </c>
      <c r="AB116" s="5">
        <f>-100+(100*AA116/Y116)</f>
        <v/>
      </c>
    </row>
    <row r="117">
      <c r="A117" s="71" t="n"/>
      <c r="C117" s="71" t="n"/>
      <c r="D117" s="71" t="n"/>
      <c r="E117" s="71" t="n"/>
      <c r="F117" s="71" t="n"/>
      <c r="G117" s="71" t="n"/>
      <c r="H117" s="71" t="n"/>
      <c r="I117" s="71" t="n"/>
      <c r="J117" s="71" t="n"/>
      <c r="K117" s="71" t="n"/>
      <c r="L117" s="71" t="n"/>
      <c r="M117" s="71" t="n"/>
      <c r="N117" s="71" t="n"/>
      <c r="O117" s="71" t="n"/>
      <c r="P117" s="71" t="n"/>
      <c r="Q117" s="71" t="n"/>
      <c r="R117" s="71" t="n"/>
      <c r="S117" s="71" t="n"/>
      <c r="T117" s="71" t="n"/>
      <c r="U117" s="18" t="n"/>
      <c r="V117" s="19" t="n"/>
      <c r="W117" s="19" t="n"/>
      <c r="X117" s="20" t="n"/>
      <c r="Y117" s="3">
        <f>V117-W117</f>
        <v/>
      </c>
      <c r="Z117" s="3">
        <f>Y117*X117</f>
        <v/>
      </c>
      <c r="AA117" s="5">
        <f>4416/X117</f>
        <v/>
      </c>
      <c r="AB117" s="5">
        <f>-100+(100*AA117/Y117)</f>
        <v/>
      </c>
    </row>
    <row r="118" ht="15" customHeight="1">
      <c r="A118" s="49" t="n">
        <v>39</v>
      </c>
      <c r="C118" s="50" t="n">
        <v>0.8694444444444445</v>
      </c>
      <c r="D118" s="40" t="inlineStr">
        <is>
          <t>sound wav ~2min</t>
        </is>
      </c>
      <c r="E118" s="33" t="inlineStr">
        <is>
          <t>121/78/93</t>
        </is>
      </c>
      <c r="F118" s="40" t="inlineStr">
        <is>
          <t>ekg pdf ~30sec</t>
        </is>
      </c>
      <c r="G118" s="52" t="n">
        <v>20.8</v>
      </c>
      <c r="H118" s="48" t="n">
        <v>0.65</v>
      </c>
      <c r="I118" s="40" t="n">
        <v>1014</v>
      </c>
      <c r="J118" s="40" t="n">
        <v>36.5</v>
      </c>
      <c r="K118" s="48" t="n">
        <v>0.97</v>
      </c>
      <c r="L118" s="40" t="n">
        <v>93</v>
      </c>
      <c r="M118" s="75" t="inlineStr">
        <is>
          <t>129/84/93  SpO2 97% synus rhythm</t>
        </is>
      </c>
      <c r="N118" s="40" t="inlineStr">
        <is>
          <t>low stress</t>
        </is>
      </c>
      <c r="O118" s="73" t="n"/>
      <c r="P118" s="49" t="inlineStr">
        <is>
          <t>after 10 min smoking</t>
        </is>
      </c>
      <c r="Q118" s="49" t="n">
        <v>11</v>
      </c>
      <c r="R118" s="49" t="n">
        <v>15</v>
      </c>
      <c r="S118" s="49" t="n">
        <v>17</v>
      </c>
      <c r="T118" s="49" t="inlineStr">
        <is>
          <t>clear</t>
        </is>
      </c>
      <c r="U118" s="13" t="n"/>
      <c r="V118" s="14" t="n">
        <v>121</v>
      </c>
      <c r="W118" s="14" t="n">
        <v>78</v>
      </c>
      <c r="X118" s="15" t="n">
        <v>93</v>
      </c>
      <c r="Y118" s="3">
        <f>V118-W118</f>
        <v/>
      </c>
      <c r="Z118" s="3">
        <f>Y118*X118</f>
        <v/>
      </c>
      <c r="AA118" s="5">
        <f>4416/X118</f>
        <v/>
      </c>
      <c r="AB118" s="5">
        <f>-100+(100*AA118/Y118)</f>
        <v/>
      </c>
    </row>
    <row r="119">
      <c r="A119" s="70" t="n"/>
      <c r="C119" s="70" t="n"/>
      <c r="D119" s="70" t="n"/>
      <c r="E119" s="70" t="n"/>
      <c r="F119" s="70" t="n"/>
      <c r="G119" s="70" t="n"/>
      <c r="H119" s="70" t="n"/>
      <c r="I119" s="70" t="n"/>
      <c r="J119" s="70" t="n"/>
      <c r="K119" s="70" t="n"/>
      <c r="L119" s="70" t="n"/>
      <c r="M119" s="70" t="n"/>
      <c r="N119" s="70" t="n"/>
      <c r="O119" s="70" t="n"/>
      <c r="P119" s="70" t="n"/>
      <c r="Q119" s="70" t="n"/>
      <c r="R119" s="70" t="n"/>
      <c r="S119" s="70" t="n"/>
      <c r="T119" s="70" t="n"/>
      <c r="U119" s="16" t="n"/>
      <c r="X119" s="17" t="n"/>
      <c r="Y119" s="3">
        <f>V119-W119</f>
        <v/>
      </c>
      <c r="Z119" s="3">
        <f>Y119*X119</f>
        <v/>
      </c>
      <c r="AA119" s="5">
        <f>4416/X119</f>
        <v/>
      </c>
      <c r="AB119" s="5">
        <f>-100+(100*AA119/Y119)</f>
        <v/>
      </c>
    </row>
    <row r="120">
      <c r="A120" s="71" t="n"/>
      <c r="C120" s="71" t="n"/>
      <c r="D120" s="71" t="n"/>
      <c r="E120" s="71" t="n"/>
      <c r="F120" s="71" t="n"/>
      <c r="G120" s="71" t="n"/>
      <c r="H120" s="71" t="n"/>
      <c r="I120" s="71" t="n"/>
      <c r="J120" s="71" t="n"/>
      <c r="K120" s="71" t="n"/>
      <c r="L120" s="71" t="n"/>
      <c r="M120" s="71" t="n"/>
      <c r="N120" s="71" t="n"/>
      <c r="O120" s="71" t="n"/>
      <c r="P120" s="71" t="n"/>
      <c r="Q120" s="71" t="n"/>
      <c r="R120" s="71" t="n"/>
      <c r="S120" s="71" t="n"/>
      <c r="T120" s="71" t="n"/>
      <c r="U120" s="18" t="n"/>
      <c r="V120" s="19" t="n"/>
      <c r="W120" s="19" t="n"/>
      <c r="X120" s="20" t="n"/>
      <c r="Y120" s="3">
        <f>V120-W120</f>
        <v/>
      </c>
      <c r="Z120" s="3">
        <f>Y120*X120</f>
        <v/>
      </c>
      <c r="AA120" s="5">
        <f>4416/X120</f>
        <v/>
      </c>
      <c r="AB120" s="5">
        <f>-100+(100*AA120/Y120)</f>
        <v/>
      </c>
    </row>
    <row r="121">
      <c r="A121" s="49" t="n">
        <v>40</v>
      </c>
      <c r="C121" s="50" t="n">
        <v>0.8923611111111112</v>
      </c>
      <c r="D121" s="40" t="inlineStr">
        <is>
          <t>sound wav ~2min</t>
        </is>
      </c>
      <c r="E121" s="33" t="inlineStr">
        <is>
          <t>135/83/91</t>
        </is>
      </c>
      <c r="F121" s="40" t="inlineStr">
        <is>
          <t>ekg pdf ~30sec</t>
        </is>
      </c>
      <c r="G121" s="52" t="n">
        <v>20</v>
      </c>
      <c r="H121" s="48" t="n">
        <v>0.65</v>
      </c>
      <c r="I121" s="40" t="n">
        <v>1014</v>
      </c>
      <c r="J121" s="40" t="n">
        <v>36.5</v>
      </c>
      <c r="K121" s="48" t="n">
        <v>0.95</v>
      </c>
      <c r="L121" s="40" t="n">
        <v>91</v>
      </c>
      <c r="M121" s="75" t="inlineStr">
        <is>
          <t>137/88/90  SpO2 95% synus rhythm</t>
        </is>
      </c>
      <c r="N121" s="40" t="inlineStr">
        <is>
          <t>low stress</t>
        </is>
      </c>
      <c r="O121" s="73" t="n"/>
      <c r="P121" s="69" t="inlineStr">
        <is>
          <t>during smoking</t>
        </is>
      </c>
      <c r="Q121" s="49" t="n">
        <v>22</v>
      </c>
      <c r="R121" s="49" t="n">
        <v>30</v>
      </c>
      <c r="S121" s="49" t="n">
        <v>30</v>
      </c>
      <c r="T121" s="49" t="inlineStr">
        <is>
          <t>clear</t>
        </is>
      </c>
      <c r="U121" s="13" t="n"/>
      <c r="V121" s="14" t="n">
        <v>135</v>
      </c>
      <c r="W121" s="14" t="n">
        <v>83</v>
      </c>
      <c r="X121" s="15" t="n">
        <v>91</v>
      </c>
      <c r="Y121" s="3">
        <f>V121-W121</f>
        <v/>
      </c>
      <c r="Z121" s="3">
        <f>Y121*X121</f>
        <v/>
      </c>
      <c r="AA121" s="5">
        <f>4416/X121</f>
        <v/>
      </c>
      <c r="AB121" s="5">
        <f>-100+(100*AA121/Y121)</f>
        <v/>
      </c>
    </row>
    <row r="122">
      <c r="A122" s="70" t="n"/>
      <c r="C122" s="70" t="n"/>
      <c r="D122" s="70" t="n"/>
      <c r="E122" s="70" t="n"/>
      <c r="F122" s="70" t="n"/>
      <c r="G122" s="70" t="n"/>
      <c r="H122" s="70" t="n"/>
      <c r="I122" s="70" t="n"/>
      <c r="J122" s="70" t="n"/>
      <c r="K122" s="70" t="n"/>
      <c r="L122" s="70" t="n"/>
      <c r="M122" s="70" t="n"/>
      <c r="N122" s="70" t="n"/>
      <c r="O122" s="70" t="n"/>
      <c r="P122" s="70" t="n"/>
      <c r="Q122" s="70" t="n"/>
      <c r="R122" s="70" t="n"/>
      <c r="S122" s="70" t="n"/>
      <c r="T122" s="70" t="n"/>
      <c r="U122" s="16" t="n"/>
      <c r="X122" s="17" t="n"/>
      <c r="Y122" s="3">
        <f>V122-W122</f>
        <v/>
      </c>
      <c r="Z122" s="3">
        <f>Y122*X122</f>
        <v/>
      </c>
      <c r="AA122" s="5">
        <f>4416/X122</f>
        <v/>
      </c>
      <c r="AB122" s="5">
        <f>-100+(100*AA122/Y122)</f>
        <v/>
      </c>
    </row>
    <row r="123">
      <c r="A123" s="71" t="n"/>
      <c r="C123" s="71" t="n"/>
      <c r="D123" s="71" t="n"/>
      <c r="E123" s="71" t="n"/>
      <c r="F123" s="71" t="n"/>
      <c r="G123" s="71" t="n"/>
      <c r="H123" s="71" t="n"/>
      <c r="I123" s="71" t="n"/>
      <c r="J123" s="71" t="n"/>
      <c r="K123" s="71" t="n"/>
      <c r="L123" s="71" t="n"/>
      <c r="M123" s="71" t="n"/>
      <c r="N123" s="71" t="n"/>
      <c r="O123" s="71" t="n"/>
      <c r="P123" s="71" t="n"/>
      <c r="Q123" s="71" t="n"/>
      <c r="R123" s="71" t="n"/>
      <c r="S123" s="71" t="n"/>
      <c r="T123" s="71" t="n"/>
      <c r="U123" s="18" t="n"/>
      <c r="V123" s="19" t="n"/>
      <c r="W123" s="19" t="n"/>
      <c r="X123" s="20" t="n"/>
      <c r="Y123" s="3">
        <f>V123-W123</f>
        <v/>
      </c>
      <c r="Z123" s="3">
        <f>Y123*X123</f>
        <v/>
      </c>
      <c r="AA123" s="5">
        <f>4416/X123</f>
        <v/>
      </c>
      <c r="AB123" s="5">
        <f>-100+(100*AA123/Y123)</f>
        <v/>
      </c>
    </row>
    <row r="124">
      <c r="A124" s="49" t="n">
        <v>41</v>
      </c>
      <c r="C124" s="50" t="n">
        <v>0.9319444444444445</v>
      </c>
      <c r="D124" s="40" t="inlineStr">
        <is>
          <t>sound wav ~2min</t>
        </is>
      </c>
      <c r="E124" s="33" t="inlineStr">
        <is>
          <t>137/85/83</t>
        </is>
      </c>
      <c r="F124" s="40" t="inlineStr">
        <is>
          <t>ekg pdf ~30sec</t>
        </is>
      </c>
      <c r="G124" s="52" t="n">
        <v>19.5</v>
      </c>
      <c r="H124" s="48" t="n">
        <v>0.65</v>
      </c>
      <c r="I124" s="40" t="n">
        <v>1014</v>
      </c>
      <c r="J124" s="40" t="n">
        <v>36.4</v>
      </c>
      <c r="K124" s="48" t="n">
        <v>0.95</v>
      </c>
      <c r="L124" s="40" t="n">
        <v>82</v>
      </c>
      <c r="M124" s="75" t="inlineStr">
        <is>
          <t>127/83/83  SpO2 98% synus rhythm</t>
        </is>
      </c>
      <c r="N124" s="40" t="inlineStr">
        <is>
          <t>low stress</t>
        </is>
      </c>
      <c r="O124" s="73" t="n"/>
      <c r="P124" s="49" t="inlineStr">
        <is>
          <t>after 5 min smoking &amp; 1 beer</t>
        </is>
      </c>
      <c r="Q124" s="49" t="n">
        <v>13</v>
      </c>
      <c r="R124" s="49" t="n">
        <v>18</v>
      </c>
      <c r="S124" s="49" t="n">
        <v>26</v>
      </c>
      <c r="T124" s="49" t="inlineStr">
        <is>
          <t>clear</t>
        </is>
      </c>
      <c r="U124" s="13" t="n"/>
      <c r="V124" s="14" t="n">
        <v>137</v>
      </c>
      <c r="W124" s="14" t="n">
        <v>85</v>
      </c>
      <c r="X124" s="15" t="n">
        <v>83</v>
      </c>
      <c r="Y124" s="3">
        <f>V124-W124</f>
        <v/>
      </c>
      <c r="Z124" s="3">
        <f>Y124*X124</f>
        <v/>
      </c>
      <c r="AA124" s="5">
        <f>4416/X124</f>
        <v/>
      </c>
      <c r="AB124" s="5">
        <f>-100+(100*AA124/Y124)</f>
        <v/>
      </c>
    </row>
    <row r="125">
      <c r="A125" s="70" t="n"/>
      <c r="C125" s="70" t="n"/>
      <c r="D125" s="70" t="n"/>
      <c r="E125" s="70" t="n"/>
      <c r="F125" s="70" t="n"/>
      <c r="G125" s="70" t="n"/>
      <c r="H125" s="70" t="n"/>
      <c r="I125" s="70" t="n"/>
      <c r="J125" s="70" t="n"/>
      <c r="K125" s="70" t="n"/>
      <c r="L125" s="70" t="n"/>
      <c r="M125" s="70" t="n"/>
      <c r="N125" s="70" t="n"/>
      <c r="O125" s="70" t="n"/>
      <c r="P125" s="70" t="n"/>
      <c r="Q125" s="70" t="n"/>
      <c r="R125" s="70" t="n"/>
      <c r="S125" s="70" t="n"/>
      <c r="T125" s="70" t="n"/>
      <c r="U125" s="16" t="n"/>
      <c r="X125" s="17" t="n"/>
      <c r="Y125" s="3">
        <f>V125-W125</f>
        <v/>
      </c>
      <c r="Z125" s="3">
        <f>Y125*X125</f>
        <v/>
      </c>
      <c r="AA125" s="5">
        <f>4416/X125</f>
        <v/>
      </c>
      <c r="AB125" s="5">
        <f>-100+(100*AA125/Y125)</f>
        <v/>
      </c>
    </row>
    <row r="126">
      <c r="A126" s="71" t="n"/>
      <c r="C126" s="71" t="n"/>
      <c r="D126" s="71" t="n"/>
      <c r="E126" s="71" t="n"/>
      <c r="F126" s="71" t="n"/>
      <c r="G126" s="71" t="n"/>
      <c r="H126" s="71" t="n"/>
      <c r="I126" s="71" t="n"/>
      <c r="J126" s="71" t="n"/>
      <c r="K126" s="71" t="n"/>
      <c r="L126" s="71" t="n"/>
      <c r="M126" s="71" t="n"/>
      <c r="N126" s="71" t="n"/>
      <c r="O126" s="71" t="n"/>
      <c r="P126" s="71" t="n"/>
      <c r="Q126" s="71" t="n"/>
      <c r="R126" s="71" t="n"/>
      <c r="S126" s="71" t="n"/>
      <c r="T126" s="71" t="n"/>
      <c r="U126" s="18" t="n"/>
      <c r="V126" s="19" t="n"/>
      <c r="W126" s="19" t="n"/>
      <c r="X126" s="20" t="n"/>
      <c r="Y126" s="3">
        <f>V126-W126</f>
        <v/>
      </c>
      <c r="Z126" s="3">
        <f>Y126*X126</f>
        <v/>
      </c>
      <c r="AA126" s="5">
        <f>4416/X126</f>
        <v/>
      </c>
      <c r="AB126" s="5">
        <f>-100+(100*AA126/Y126)</f>
        <v/>
      </c>
    </row>
    <row r="127" ht="34.5" customHeight="1">
      <c r="A127" s="49" t="n">
        <v>42</v>
      </c>
      <c r="B127" s="1" t="inlineStr">
        <is>
          <t>8:11 h sleep / sleep score 61 (REM 22% light 68% deep 3% awake 7%)</t>
        </is>
      </c>
      <c r="C127" s="50" t="n">
        <v>0.3479166666666667</v>
      </c>
      <c r="D127" s="40" t="inlineStr">
        <is>
          <t>sound wav ~2min</t>
        </is>
      </c>
      <c r="E127" s="33" t="inlineStr">
        <is>
          <t>143/94/94</t>
        </is>
      </c>
      <c r="F127" s="40" t="inlineStr">
        <is>
          <t>ekg pdf ~30sec</t>
        </is>
      </c>
      <c r="G127" s="52" t="n">
        <v>16.7</v>
      </c>
      <c r="H127" s="48" t="n">
        <v>0.84</v>
      </c>
      <c r="I127" s="40" t="n">
        <v>1014</v>
      </c>
      <c r="J127" s="40" t="n">
        <v>36.9</v>
      </c>
      <c r="K127" s="48" t="n">
        <v>0.96</v>
      </c>
      <c r="L127" s="40" t="n">
        <v>97</v>
      </c>
      <c r="M127" s="75" t="inlineStr">
        <is>
          <t>133/87/96  SpO2 97% synus rhythm</t>
        </is>
      </c>
      <c r="N127" s="40" t="inlineStr">
        <is>
          <t>low stress</t>
        </is>
      </c>
      <c r="O127" s="73" t="n"/>
      <c r="P127" s="49" t="inlineStr">
        <is>
          <t>after 5 min smoking &amp; coffee</t>
        </is>
      </c>
      <c r="Q127" s="49" t="n">
        <v>10</v>
      </c>
      <c r="R127" s="49" t="n">
        <v>15</v>
      </c>
      <c r="S127" s="49" t="n">
        <v>18</v>
      </c>
      <c r="T127" s="49" t="inlineStr">
        <is>
          <t>cloudy</t>
        </is>
      </c>
      <c r="U127" s="13" t="inlineStr">
        <is>
          <t>wake up at 7:20</t>
        </is>
      </c>
      <c r="V127" s="14" t="n">
        <v>143</v>
      </c>
      <c r="W127" s="14" t="n">
        <v>94</v>
      </c>
      <c r="X127" s="15" t="n">
        <v>94</v>
      </c>
      <c r="Y127" s="21">
        <f>V127-W127</f>
        <v/>
      </c>
      <c r="Z127" s="3">
        <f>Y127*X127</f>
        <v/>
      </c>
      <c r="AA127" s="5">
        <f>4416/X127</f>
        <v/>
      </c>
      <c r="AB127" s="5">
        <f>-100+(100*AA127/Y127)</f>
        <v/>
      </c>
    </row>
    <row r="128">
      <c r="A128" s="70" t="n"/>
      <c r="B128" s="4" t="inlineStr">
        <is>
          <t>26 iul 2021</t>
        </is>
      </c>
      <c r="C128" s="70" t="n"/>
      <c r="D128" s="70" t="n"/>
      <c r="E128" s="70" t="n"/>
      <c r="F128" s="70" t="n"/>
      <c r="G128" s="70" t="n"/>
      <c r="H128" s="70" t="n"/>
      <c r="I128" s="70" t="n"/>
      <c r="J128" s="70" t="n"/>
      <c r="K128" s="70" t="n"/>
      <c r="L128" s="70" t="n"/>
      <c r="M128" s="70" t="n"/>
      <c r="N128" s="70" t="n"/>
      <c r="O128" s="70" t="n"/>
      <c r="P128" s="70" t="n"/>
      <c r="Q128" s="70" t="n"/>
      <c r="R128" s="70" t="n"/>
      <c r="S128" s="70" t="n"/>
      <c r="T128" s="70" t="n"/>
      <c r="U128" s="16" t="inlineStr">
        <is>
          <t>after pills</t>
        </is>
      </c>
      <c r="X128" s="17" t="n"/>
      <c r="Y128" s="3">
        <f>V128-W128</f>
        <v/>
      </c>
      <c r="Z128" s="3">
        <f>Y128*X128</f>
        <v/>
      </c>
      <c r="AA128" s="5">
        <f>4416/X128</f>
        <v/>
      </c>
      <c r="AB128" s="5">
        <f>-100+(100*AA128/Y128)</f>
        <v/>
      </c>
    </row>
    <row r="129">
      <c r="A129" s="71" t="n"/>
      <c r="B129" s="1" t="inlineStr">
        <is>
          <t>total 9500 steps</t>
        </is>
      </c>
      <c r="C129" s="71" t="n"/>
      <c r="D129" s="71" t="n"/>
      <c r="E129" s="71" t="n"/>
      <c r="F129" s="71" t="n"/>
      <c r="G129" s="71" t="n"/>
      <c r="H129" s="71" t="n"/>
      <c r="I129" s="71" t="n"/>
      <c r="J129" s="71" t="n"/>
      <c r="K129" s="71" t="n"/>
      <c r="L129" s="71" t="n"/>
      <c r="M129" s="71" t="n"/>
      <c r="N129" s="71" t="n"/>
      <c r="O129" s="71" t="n"/>
      <c r="P129" s="71" t="n"/>
      <c r="Q129" s="71" t="n"/>
      <c r="R129" s="71" t="n"/>
      <c r="S129" s="71" t="n"/>
      <c r="T129" s="71" t="n"/>
      <c r="U129" s="18" t="n"/>
      <c r="V129" s="19" t="n"/>
      <c r="W129" s="19" t="n"/>
      <c r="X129" s="20" t="n"/>
      <c r="Y129" s="3">
        <f>V129-W129</f>
        <v/>
      </c>
      <c r="Z129" s="3">
        <f>Y129*X129</f>
        <v/>
      </c>
      <c r="AA129" s="5">
        <f>4416/X129</f>
        <v/>
      </c>
      <c r="AB129" s="5">
        <f>-100+(100*AA129/Y129)</f>
        <v/>
      </c>
    </row>
    <row r="130" ht="15" customHeight="1">
      <c r="A130" s="49" t="n">
        <v>43</v>
      </c>
      <c r="C130" s="50" t="n">
        <v>0.3902777777777778</v>
      </c>
      <c r="D130" s="40" t="inlineStr">
        <is>
          <t>sound wav ~2min</t>
        </is>
      </c>
      <c r="E130" s="33" t="inlineStr">
        <is>
          <t>131/86/90</t>
        </is>
      </c>
      <c r="F130" s="40" t="inlineStr">
        <is>
          <t>ekg pdf ~30sec</t>
        </is>
      </c>
      <c r="G130" s="52" t="n">
        <v>18.9</v>
      </c>
      <c r="H130" s="48" t="n">
        <v>0.8</v>
      </c>
      <c r="I130" s="40" t="n">
        <v>1015</v>
      </c>
      <c r="J130" s="40" t="n">
        <v>36.4</v>
      </c>
      <c r="K130" s="48" t="n">
        <v>0.95</v>
      </c>
      <c r="L130" s="40" t="n">
        <v>91</v>
      </c>
      <c r="M130" s="75" t="inlineStr">
        <is>
          <t>127/81/91  SpO2 97% synus rhythm</t>
        </is>
      </c>
      <c r="N130" s="40" t="inlineStr">
        <is>
          <t>low stress</t>
        </is>
      </c>
      <c r="O130" s="73" t="n"/>
      <c r="P130" s="49" t="inlineStr">
        <is>
          <t>after 5 min smoking</t>
        </is>
      </c>
      <c r="Q130" s="49" t="n">
        <v>10</v>
      </c>
      <c r="R130" s="49" t="n">
        <v>14</v>
      </c>
      <c r="S130" s="49" t="n">
        <v>15</v>
      </c>
      <c r="T130" s="49" t="inlineStr">
        <is>
          <t>sunny</t>
        </is>
      </c>
      <c r="U130" s="13" t="n"/>
      <c r="V130" s="14" t="n">
        <v>131</v>
      </c>
      <c r="W130" s="14" t="n">
        <v>86</v>
      </c>
      <c r="X130" s="15" t="n">
        <v>90</v>
      </c>
      <c r="Y130" s="3">
        <f>V130-W130</f>
        <v/>
      </c>
      <c r="Z130" s="3">
        <f>Y130*X130</f>
        <v/>
      </c>
      <c r="AA130" s="5">
        <f>4416/X130</f>
        <v/>
      </c>
      <c r="AB130" s="5">
        <f>-100+(100*AA130/Y130)</f>
        <v/>
      </c>
    </row>
    <row r="131">
      <c r="A131" s="70" t="n"/>
      <c r="B131" s="3" t="inlineStr">
        <is>
          <t>plus 1000 steps</t>
        </is>
      </c>
      <c r="C131" s="70" t="n"/>
      <c r="D131" s="70" t="n"/>
      <c r="E131" s="70" t="n"/>
      <c r="F131" s="70" t="n"/>
      <c r="G131" s="70" t="n"/>
      <c r="H131" s="70" t="n"/>
      <c r="I131" s="70" t="n"/>
      <c r="J131" s="70" t="n"/>
      <c r="K131" s="70" t="n"/>
      <c r="L131" s="70" t="n"/>
      <c r="M131" s="70" t="n"/>
      <c r="N131" s="70" t="n"/>
      <c r="O131" s="70" t="n"/>
      <c r="P131" s="70" t="n"/>
      <c r="Q131" s="70" t="n"/>
      <c r="R131" s="70" t="n"/>
      <c r="S131" s="70" t="n"/>
      <c r="T131" s="70" t="n"/>
      <c r="U131" s="16" t="n"/>
      <c r="X131" s="17" t="n"/>
      <c r="Y131" s="3">
        <f>V131-W131</f>
        <v/>
      </c>
      <c r="Z131" s="3">
        <f>Y131*X131</f>
        <v/>
      </c>
      <c r="AA131" s="5">
        <f>4416/X131</f>
        <v/>
      </c>
      <c r="AB131" s="5">
        <f>-100+(100*AA131/Y131)</f>
        <v/>
      </c>
    </row>
    <row r="132">
      <c r="A132" s="71" t="n"/>
      <c r="C132" s="71" t="n"/>
      <c r="D132" s="71" t="n"/>
      <c r="E132" s="71" t="n"/>
      <c r="F132" s="71" t="n"/>
      <c r="G132" s="71" t="n"/>
      <c r="H132" s="71" t="n"/>
      <c r="I132" s="71" t="n"/>
      <c r="J132" s="71" t="n"/>
      <c r="K132" s="71" t="n"/>
      <c r="L132" s="71" t="n"/>
      <c r="M132" s="71" t="n"/>
      <c r="N132" s="71" t="n"/>
      <c r="O132" s="71" t="n"/>
      <c r="P132" s="71" t="n"/>
      <c r="Q132" s="71" t="n"/>
      <c r="R132" s="71" t="n"/>
      <c r="S132" s="71" t="n"/>
      <c r="T132" s="71" t="n"/>
      <c r="U132" s="18" t="n"/>
      <c r="V132" s="19" t="n"/>
      <c r="W132" s="19" t="n"/>
      <c r="X132" s="20" t="n"/>
      <c r="Y132" s="3">
        <f>V132-W132</f>
        <v/>
      </c>
      <c r="Z132" s="3">
        <f>Y132*X132</f>
        <v/>
      </c>
      <c r="AA132" s="5">
        <f>4416/X132</f>
        <v/>
      </c>
      <c r="AB132" s="5">
        <f>-100+(100*AA132/Y132)</f>
        <v/>
      </c>
    </row>
    <row r="133" ht="15" customHeight="1">
      <c r="A133" s="49" t="n">
        <v>44</v>
      </c>
      <c r="C133" s="50" t="n">
        <v>0.4118055555555555</v>
      </c>
      <c r="D133" s="40" t="inlineStr">
        <is>
          <t>sound wav ~2min</t>
        </is>
      </c>
      <c r="E133" s="33" t="inlineStr">
        <is>
          <t>124/80/85</t>
        </is>
      </c>
      <c r="F133" s="40" t="inlineStr">
        <is>
          <t>ekg pdf ~30sec</t>
        </is>
      </c>
      <c r="G133" s="52" t="n">
        <v>20.6</v>
      </c>
      <c r="H133" s="48" t="n">
        <v>0.75</v>
      </c>
      <c r="I133" s="40" t="n">
        <v>1015</v>
      </c>
      <c r="J133" s="40" t="n">
        <v>36.4</v>
      </c>
      <c r="K133" s="48" t="n">
        <v>0.97</v>
      </c>
      <c r="L133" s="40" t="n">
        <v>95</v>
      </c>
      <c r="M133" s="75" t="inlineStr">
        <is>
          <t>130/84/95  SpO2 97% synus rhythm</t>
        </is>
      </c>
      <c r="N133" s="40" t="inlineStr">
        <is>
          <t>low stress</t>
        </is>
      </c>
      <c r="O133" s="73" t="n"/>
      <c r="P133" s="49" t="inlineStr">
        <is>
          <t>after breakfast</t>
        </is>
      </c>
      <c r="Q133" s="49" t="n">
        <v>9</v>
      </c>
      <c r="R133" s="49" t="n">
        <v>13</v>
      </c>
      <c r="S133" s="49" t="n">
        <v>16</v>
      </c>
      <c r="T133" s="49" t="inlineStr">
        <is>
          <t>sunny</t>
        </is>
      </c>
      <c r="U133" s="13" t="n"/>
      <c r="V133" s="14" t="n">
        <v>124</v>
      </c>
      <c r="W133" s="14" t="n">
        <v>80</v>
      </c>
      <c r="X133" s="15" t="n">
        <v>85</v>
      </c>
      <c r="Y133" s="3">
        <f>V133-W133</f>
        <v/>
      </c>
      <c r="Z133" s="3">
        <f>Y133*X133</f>
        <v/>
      </c>
      <c r="AA133" s="5">
        <f>4416/X133</f>
        <v/>
      </c>
      <c r="AB133" s="5">
        <f>-100+(100*AA133/Y133)</f>
        <v/>
      </c>
    </row>
    <row r="134">
      <c r="A134" s="70" t="n"/>
      <c r="C134" s="70" t="n"/>
      <c r="D134" s="70" t="n"/>
      <c r="E134" s="70" t="n"/>
      <c r="F134" s="70" t="n"/>
      <c r="G134" s="70" t="n"/>
      <c r="H134" s="70" t="n"/>
      <c r="I134" s="70" t="n"/>
      <c r="J134" s="70" t="n"/>
      <c r="K134" s="70" t="n"/>
      <c r="L134" s="70" t="n"/>
      <c r="M134" s="70" t="n"/>
      <c r="N134" s="70" t="n"/>
      <c r="O134" s="70" t="n"/>
      <c r="P134" s="70" t="n"/>
      <c r="Q134" s="70" t="n"/>
      <c r="R134" s="70" t="n"/>
      <c r="S134" s="70" t="n"/>
      <c r="T134" s="70" t="n"/>
      <c r="U134" s="16" t="n"/>
      <c r="X134" s="17" t="n"/>
      <c r="Y134" s="3">
        <f>V134-W134</f>
        <v/>
      </c>
      <c r="Z134" s="3">
        <f>Y134*X134</f>
        <v/>
      </c>
      <c r="AA134" s="5">
        <f>4416/X134</f>
        <v/>
      </c>
      <c r="AB134" s="5">
        <f>-100+(100*AA134/Y134)</f>
        <v/>
      </c>
    </row>
    <row r="135">
      <c r="A135" s="71" t="n"/>
      <c r="C135" s="71" t="n"/>
      <c r="D135" s="71" t="n"/>
      <c r="E135" s="71" t="n"/>
      <c r="F135" s="71" t="n"/>
      <c r="G135" s="71" t="n"/>
      <c r="H135" s="71" t="n"/>
      <c r="I135" s="71" t="n"/>
      <c r="J135" s="71" t="n"/>
      <c r="K135" s="71" t="n"/>
      <c r="L135" s="71" t="n"/>
      <c r="M135" s="71" t="n"/>
      <c r="N135" s="71" t="n"/>
      <c r="O135" s="71" t="n"/>
      <c r="P135" s="71" t="n"/>
      <c r="Q135" s="71" t="n"/>
      <c r="R135" s="71" t="n"/>
      <c r="S135" s="71" t="n"/>
      <c r="T135" s="71" t="n"/>
      <c r="U135" s="18" t="n"/>
      <c r="V135" s="19" t="n"/>
      <c r="W135" s="19" t="n"/>
      <c r="X135" s="20" t="n"/>
      <c r="Y135" s="3">
        <f>V135-W135</f>
        <v/>
      </c>
      <c r="Z135" s="3">
        <f>Y135*X135</f>
        <v/>
      </c>
      <c r="AA135" s="5">
        <f>4416/X135</f>
        <v/>
      </c>
      <c r="AB135" s="5">
        <f>-100+(100*AA135/Y135)</f>
        <v/>
      </c>
    </row>
    <row r="136">
      <c r="A136" s="49" t="n">
        <v>45</v>
      </c>
      <c r="B136" s="7" t="inlineStr">
        <is>
          <t>SpO2 switched</t>
        </is>
      </c>
      <c r="C136" s="50" t="n">
        <v>0.5194444444444445</v>
      </c>
      <c r="D136" s="40" t="inlineStr">
        <is>
          <t>sound wav ~2min</t>
        </is>
      </c>
      <c r="E136" s="33" t="inlineStr">
        <is>
          <t>135/85/92</t>
        </is>
      </c>
      <c r="F136" s="40" t="inlineStr">
        <is>
          <t>ekg pdf ~30sec</t>
        </is>
      </c>
      <c r="G136" s="52" t="n">
        <v>25.5</v>
      </c>
      <c r="H136" s="48" t="n">
        <v>0.54</v>
      </c>
      <c r="I136" s="40" t="n">
        <v>1016</v>
      </c>
      <c r="J136" s="40" t="n">
        <v>35.8</v>
      </c>
      <c r="K136" s="48" t="n">
        <v>0.9399999999999999</v>
      </c>
      <c r="L136" s="40" t="n">
        <v>93</v>
      </c>
      <c r="M136" s="75" t="inlineStr">
        <is>
          <t>125/81/91  SpO2 97% synus rhythm</t>
        </is>
      </c>
      <c r="N136" s="40" t="inlineStr">
        <is>
          <t>low stress</t>
        </is>
      </c>
      <c r="O136" s="73" t="n"/>
      <c r="P136" s="49" t="inlineStr">
        <is>
          <t>after 5 min smoking</t>
        </is>
      </c>
      <c r="Q136" s="49" t="n">
        <v>7</v>
      </c>
      <c r="R136" s="49" t="n">
        <v>11</v>
      </c>
      <c r="S136" s="49" t="n">
        <v>12</v>
      </c>
      <c r="T136" s="49" t="inlineStr">
        <is>
          <t>sunny</t>
        </is>
      </c>
      <c r="U136" s="13" t="n"/>
      <c r="V136" s="14" t="n">
        <v>135</v>
      </c>
      <c r="W136" s="14" t="n">
        <v>85</v>
      </c>
      <c r="X136" s="15" t="n">
        <v>92</v>
      </c>
      <c r="Y136" s="3">
        <f>V136-W136</f>
        <v/>
      </c>
      <c r="Z136" s="3">
        <f>Y136*X136</f>
        <v/>
      </c>
      <c r="AA136" s="5">
        <f>4416/X136</f>
        <v/>
      </c>
      <c r="AB136" s="5">
        <f>-100+(100*AA136/Y136)</f>
        <v/>
      </c>
    </row>
    <row r="137">
      <c r="A137" s="70" t="n"/>
      <c r="B137" s="3" t="inlineStr">
        <is>
          <t>1h sleeping</t>
        </is>
      </c>
      <c r="C137" s="70" t="n"/>
      <c r="D137" s="70" t="n"/>
      <c r="E137" s="70" t="n"/>
      <c r="F137" s="70" t="n"/>
      <c r="G137" s="70" t="n"/>
      <c r="H137" s="70" t="n"/>
      <c r="I137" s="70" t="n"/>
      <c r="J137" s="70" t="n"/>
      <c r="K137" s="70" t="n"/>
      <c r="L137" s="70" t="n"/>
      <c r="M137" s="70" t="n"/>
      <c r="N137" s="70" t="n"/>
      <c r="O137" s="70" t="n"/>
      <c r="P137" s="70" t="n"/>
      <c r="Q137" s="70" t="n"/>
      <c r="R137" s="70" t="n"/>
      <c r="S137" s="70" t="n"/>
      <c r="T137" s="70" t="n"/>
      <c r="U137" s="16" t="n"/>
      <c r="X137" s="17" t="n"/>
      <c r="Y137" s="3">
        <f>V137-W137</f>
        <v/>
      </c>
      <c r="Z137" s="3">
        <f>Y137*X137</f>
        <v/>
      </c>
      <c r="AA137" s="5">
        <f>4416/X137</f>
        <v/>
      </c>
      <c r="AB137" s="5">
        <f>-100+(100*AA137/Y137)</f>
        <v/>
      </c>
    </row>
    <row r="138">
      <c r="A138" s="71" t="n"/>
      <c r="C138" s="71" t="n"/>
      <c r="D138" s="71" t="n"/>
      <c r="E138" s="71" t="n"/>
      <c r="F138" s="71" t="n"/>
      <c r="G138" s="71" t="n"/>
      <c r="H138" s="71" t="n"/>
      <c r="I138" s="71" t="n"/>
      <c r="J138" s="71" t="n"/>
      <c r="K138" s="71" t="n"/>
      <c r="L138" s="71" t="n"/>
      <c r="M138" s="71" t="n"/>
      <c r="N138" s="71" t="n"/>
      <c r="O138" s="71" t="n"/>
      <c r="P138" s="71" t="n"/>
      <c r="Q138" s="71" t="n"/>
      <c r="R138" s="71" t="n"/>
      <c r="S138" s="71" t="n"/>
      <c r="T138" s="71" t="n"/>
      <c r="U138" s="18" t="n"/>
      <c r="V138" s="19" t="n"/>
      <c r="W138" s="19" t="n"/>
      <c r="X138" s="20" t="n"/>
      <c r="Y138" s="3">
        <f>V138-W138</f>
        <v/>
      </c>
      <c r="Z138" s="3">
        <f>Y138*X138</f>
        <v/>
      </c>
      <c r="AA138" s="5">
        <f>4416/X138</f>
        <v/>
      </c>
      <c r="AB138" s="5">
        <f>-100+(100*AA138/Y138)</f>
        <v/>
      </c>
    </row>
    <row r="139">
      <c r="A139" s="49" t="n">
        <v>46</v>
      </c>
      <c r="C139" s="50" t="n">
        <v>0.5340277777777778</v>
      </c>
      <c r="D139" s="40" t="inlineStr">
        <is>
          <t>sound wav ~2min</t>
        </is>
      </c>
      <c r="E139" s="33" t="inlineStr">
        <is>
          <t>124/81/90</t>
        </is>
      </c>
      <c r="F139" s="40" t="inlineStr">
        <is>
          <t>ekg pdf ~30sec</t>
        </is>
      </c>
      <c r="G139" s="52" t="n">
        <v>25.8</v>
      </c>
      <c r="H139" s="48" t="n">
        <v>0.54</v>
      </c>
      <c r="I139" s="40" t="n">
        <v>1016</v>
      </c>
      <c r="J139" s="40" t="n">
        <v>35.7</v>
      </c>
      <c r="K139" s="48" t="n">
        <v>0.96</v>
      </c>
      <c r="L139" s="40" t="n">
        <v>87</v>
      </c>
      <c r="M139" s="75" t="inlineStr">
        <is>
          <t>122/78/87  SpO2 94% synus rhythm</t>
        </is>
      </c>
      <c r="N139" s="40" t="inlineStr">
        <is>
          <t>low stress</t>
        </is>
      </c>
      <c r="O139" s="73" t="n"/>
      <c r="P139" s="49" t="inlineStr">
        <is>
          <t>after 10 min smoking</t>
        </is>
      </c>
      <c r="Q139" s="49" t="n">
        <v>55</v>
      </c>
      <c r="R139" s="49" t="n">
        <v>72</v>
      </c>
      <c r="S139" s="49" t="n">
        <v>84</v>
      </c>
      <c r="T139" s="49" t="inlineStr">
        <is>
          <t>sunny</t>
        </is>
      </c>
      <c r="U139" s="13" t="n"/>
      <c r="V139" s="14" t="n">
        <v>124</v>
      </c>
      <c r="W139" s="14" t="n">
        <v>81</v>
      </c>
      <c r="X139" s="15" t="n">
        <v>90</v>
      </c>
      <c r="Y139" s="3">
        <f>V139-W139</f>
        <v/>
      </c>
      <c r="Z139" s="3">
        <f>Y139*X139</f>
        <v/>
      </c>
      <c r="AA139" s="5">
        <f>4416/X139</f>
        <v/>
      </c>
      <c r="AB139" s="5">
        <f>-100+(100*AA139/Y139)</f>
        <v/>
      </c>
    </row>
    <row r="140">
      <c r="A140" s="70" t="n"/>
      <c r="C140" s="70" t="n"/>
      <c r="D140" s="70" t="n"/>
      <c r="E140" s="70" t="n"/>
      <c r="F140" s="70" t="n"/>
      <c r="G140" s="70" t="n"/>
      <c r="H140" s="70" t="n"/>
      <c r="I140" s="70" t="n"/>
      <c r="J140" s="70" t="n"/>
      <c r="K140" s="70" t="n"/>
      <c r="L140" s="70" t="n"/>
      <c r="M140" s="70" t="n"/>
      <c r="N140" s="70" t="n"/>
      <c r="O140" s="70" t="n"/>
      <c r="P140" s="70" t="n"/>
      <c r="Q140" s="70" t="n"/>
      <c r="R140" s="70" t="n"/>
      <c r="S140" s="70" t="n"/>
      <c r="T140" s="70" t="n"/>
      <c r="U140" s="16" t="n"/>
      <c r="X140" s="17" t="n"/>
      <c r="Y140" s="3">
        <f>V140-W140</f>
        <v/>
      </c>
      <c r="Z140" s="3">
        <f>Y140*X140</f>
        <v/>
      </c>
      <c r="AA140" s="5">
        <f>4416/X140</f>
        <v/>
      </c>
      <c r="AB140" s="5">
        <f>-100+(100*AA140/Y140)</f>
        <v/>
      </c>
    </row>
    <row r="141">
      <c r="A141" s="71" t="n"/>
      <c r="C141" s="71" t="n"/>
      <c r="D141" s="71" t="n"/>
      <c r="E141" s="71" t="n"/>
      <c r="F141" s="71" t="n"/>
      <c r="G141" s="71" t="n"/>
      <c r="H141" s="71" t="n"/>
      <c r="I141" s="71" t="n"/>
      <c r="J141" s="71" t="n"/>
      <c r="K141" s="71" t="n"/>
      <c r="L141" s="71" t="n"/>
      <c r="M141" s="71" t="n"/>
      <c r="N141" s="71" t="n"/>
      <c r="O141" s="71" t="n"/>
      <c r="P141" s="71" t="n"/>
      <c r="Q141" s="71" t="n"/>
      <c r="R141" s="71" t="n"/>
      <c r="S141" s="71" t="n"/>
      <c r="T141" s="71" t="n"/>
      <c r="U141" s="18" t="n"/>
      <c r="V141" s="19" t="n"/>
      <c r="W141" s="19" t="n"/>
      <c r="X141" s="20" t="n"/>
      <c r="Y141" s="3">
        <f>V141-W141</f>
        <v/>
      </c>
      <c r="Z141" s="3">
        <f>Y141*X141</f>
        <v/>
      </c>
      <c r="AA141" s="5">
        <f>4416/X141</f>
        <v/>
      </c>
      <c r="AB141" s="5">
        <f>-100+(100*AA141/Y141)</f>
        <v/>
      </c>
    </row>
    <row r="142">
      <c r="A142" s="49" t="n">
        <v>47</v>
      </c>
      <c r="C142" s="50" t="n">
        <v>0.5451388888888888</v>
      </c>
      <c r="D142" s="40" t="inlineStr">
        <is>
          <t>sound wav ~2min</t>
        </is>
      </c>
      <c r="E142" s="33" t="inlineStr">
        <is>
          <t>134/83/87</t>
        </is>
      </c>
      <c r="F142" s="40" t="inlineStr">
        <is>
          <t>ekg pdf ~30sec</t>
        </is>
      </c>
      <c r="G142" s="52" t="n">
        <v>26.2</v>
      </c>
      <c r="H142" s="48" t="n">
        <v>0.53</v>
      </c>
      <c r="I142" s="40" t="n">
        <v>1015</v>
      </c>
      <c r="J142" s="40" t="n">
        <v>35.1</v>
      </c>
      <c r="K142" s="48" t="n">
        <v>0.98</v>
      </c>
      <c r="L142" s="40" t="n">
        <v>88</v>
      </c>
      <c r="M142" s="75" t="inlineStr">
        <is>
          <t>125/81/88  SpO2 97% synus rhythm</t>
        </is>
      </c>
      <c r="N142" s="40" t="inlineStr">
        <is>
          <t>low stress</t>
        </is>
      </c>
      <c r="O142" s="73" t="n"/>
      <c r="P142" s="49" t="inlineStr">
        <is>
          <t>after 10 min smoking</t>
        </is>
      </c>
      <c r="Q142" s="49" t="n">
        <v>8</v>
      </c>
      <c r="R142" s="49" t="n">
        <v>11</v>
      </c>
      <c r="S142" s="49" t="n">
        <v>13</v>
      </c>
      <c r="T142" s="49" t="inlineStr">
        <is>
          <t>sunny</t>
        </is>
      </c>
      <c r="U142" s="13" t="n"/>
      <c r="V142" s="14" t="n">
        <v>134</v>
      </c>
      <c r="W142" s="14" t="n">
        <v>83</v>
      </c>
      <c r="X142" s="15" t="n">
        <v>87</v>
      </c>
      <c r="Y142" s="3">
        <f>V142-W142</f>
        <v/>
      </c>
      <c r="Z142" s="3">
        <f>Y142*X142</f>
        <v/>
      </c>
      <c r="AA142" s="5">
        <f>4416/X142</f>
        <v/>
      </c>
      <c r="AB142" s="5">
        <f>-100+(100*AA142/Y142)</f>
        <v/>
      </c>
    </row>
    <row r="143">
      <c r="A143" s="70" t="n"/>
      <c r="C143" s="70" t="n"/>
      <c r="D143" s="70" t="n"/>
      <c r="E143" s="70" t="n"/>
      <c r="F143" s="70" t="n"/>
      <c r="G143" s="70" t="n"/>
      <c r="H143" s="70" t="n"/>
      <c r="I143" s="70" t="n"/>
      <c r="J143" s="70" t="n"/>
      <c r="K143" s="70" t="n"/>
      <c r="L143" s="70" t="n"/>
      <c r="M143" s="70" t="n"/>
      <c r="N143" s="70" t="n"/>
      <c r="O143" s="70" t="n"/>
      <c r="P143" s="70" t="n"/>
      <c r="Q143" s="70" t="n"/>
      <c r="R143" s="70" t="n"/>
      <c r="S143" s="70" t="n"/>
      <c r="T143" s="70" t="n"/>
      <c r="U143" s="16" t="n"/>
      <c r="X143" s="17" t="n"/>
      <c r="Y143" s="3">
        <f>V143-W143</f>
        <v/>
      </c>
      <c r="Z143" s="3">
        <f>Y143*X143</f>
        <v/>
      </c>
      <c r="AA143" s="5">
        <f>4416/X143</f>
        <v/>
      </c>
      <c r="AB143" s="5">
        <f>-100+(100*AA143/Y143)</f>
        <v/>
      </c>
    </row>
    <row r="144">
      <c r="A144" s="71" t="n"/>
      <c r="C144" s="71" t="n"/>
      <c r="D144" s="71" t="n"/>
      <c r="E144" s="71" t="n"/>
      <c r="F144" s="71" t="n"/>
      <c r="G144" s="71" t="n"/>
      <c r="H144" s="71" t="n"/>
      <c r="I144" s="71" t="n"/>
      <c r="J144" s="71" t="n"/>
      <c r="K144" s="71" t="n"/>
      <c r="L144" s="71" t="n"/>
      <c r="M144" s="71" t="n"/>
      <c r="N144" s="71" t="n"/>
      <c r="O144" s="71" t="n"/>
      <c r="P144" s="71" t="n"/>
      <c r="Q144" s="71" t="n"/>
      <c r="R144" s="71" t="n"/>
      <c r="S144" s="71" t="n"/>
      <c r="T144" s="71" t="n"/>
      <c r="U144" s="18" t="n"/>
      <c r="V144" s="19" t="n"/>
      <c r="W144" s="19" t="n"/>
      <c r="X144" s="20" t="n"/>
      <c r="Y144" s="3">
        <f>V144-W144</f>
        <v/>
      </c>
      <c r="Z144" s="3">
        <f>Y144*X144</f>
        <v/>
      </c>
      <c r="AA144" s="5">
        <f>4416/X144</f>
        <v/>
      </c>
      <c r="AB144" s="5">
        <f>-100+(100*AA144/Y144)</f>
        <v/>
      </c>
    </row>
    <row r="145" ht="15" customHeight="1">
      <c r="A145" s="49" t="n">
        <v>48</v>
      </c>
      <c r="C145" s="50" t="n">
        <v>0.5756944444444444</v>
      </c>
      <c r="D145" s="40" t="inlineStr">
        <is>
          <t>sound wav ~2min</t>
        </is>
      </c>
      <c r="E145" s="33" t="inlineStr">
        <is>
          <t>132/84/92</t>
        </is>
      </c>
      <c r="F145" s="40" t="inlineStr">
        <is>
          <t>ekg pdf ~30sec</t>
        </is>
      </c>
      <c r="G145" s="52" t="n">
        <v>27.2</v>
      </c>
      <c r="H145" s="48" t="n">
        <v>0.51</v>
      </c>
      <c r="I145" s="40" t="n">
        <v>1015</v>
      </c>
      <c r="J145" s="40" t="n">
        <v>35</v>
      </c>
      <c r="K145" s="48" t="n">
        <v>0.97</v>
      </c>
      <c r="L145" s="40" t="n">
        <v>94</v>
      </c>
      <c r="M145" s="75" t="inlineStr">
        <is>
          <t>128/84/95  SpO2 97% synus rhythm</t>
        </is>
      </c>
      <c r="N145" s="40" t="inlineStr">
        <is>
          <t>low stress</t>
        </is>
      </c>
      <c r="O145" s="73" t="n"/>
      <c r="P145" s="49" t="inlineStr">
        <is>
          <t>after 5 min smoking</t>
        </is>
      </c>
      <c r="Q145" s="49" t="n">
        <v>9</v>
      </c>
      <c r="R145" s="49" t="n">
        <v>12</v>
      </c>
      <c r="S145" s="49" t="n">
        <v>16</v>
      </c>
      <c r="T145" s="49" t="inlineStr">
        <is>
          <t>sunny</t>
        </is>
      </c>
      <c r="U145" s="13" t="n"/>
      <c r="V145" s="14" t="n">
        <v>132</v>
      </c>
      <c r="W145" s="14" t="n">
        <v>84</v>
      </c>
      <c r="X145" s="15" t="n">
        <v>92</v>
      </c>
      <c r="Y145" s="3">
        <f>V145-W145</f>
        <v/>
      </c>
      <c r="Z145" s="22">
        <f>Y145*X145</f>
        <v/>
      </c>
      <c r="AA145" s="5">
        <f>4416/X145</f>
        <v/>
      </c>
      <c r="AB145" s="5">
        <f>-100+(100*AA145/Y145)</f>
        <v/>
      </c>
    </row>
    <row r="146">
      <c r="A146" s="70" t="n"/>
      <c r="B146" s="3" t="inlineStr">
        <is>
          <t>plus 500 steps</t>
        </is>
      </c>
      <c r="C146" s="70" t="n"/>
      <c r="D146" s="70" t="n"/>
      <c r="E146" s="70" t="n"/>
      <c r="F146" s="70" t="n"/>
      <c r="G146" s="70" t="n"/>
      <c r="H146" s="70" t="n"/>
      <c r="I146" s="70" t="n"/>
      <c r="J146" s="70" t="n"/>
      <c r="K146" s="70" t="n"/>
      <c r="L146" s="70" t="n"/>
      <c r="M146" s="70" t="n"/>
      <c r="N146" s="70" t="n"/>
      <c r="O146" s="70" t="n"/>
      <c r="P146" s="70" t="n"/>
      <c r="Q146" s="70" t="n"/>
      <c r="R146" s="70" t="n"/>
      <c r="S146" s="70" t="n"/>
      <c r="T146" s="70" t="n"/>
      <c r="U146" s="16" t="n"/>
      <c r="X146" s="17" t="n"/>
      <c r="Y146" s="3">
        <f>V146-W146</f>
        <v/>
      </c>
      <c r="Z146" s="3">
        <f>Y146*X146</f>
        <v/>
      </c>
      <c r="AA146" s="5">
        <f>4416/X146</f>
        <v/>
      </c>
      <c r="AB146" s="5">
        <f>-100+(100*AA146/Y146)</f>
        <v/>
      </c>
    </row>
    <row r="147">
      <c r="A147" s="71" t="n"/>
      <c r="C147" s="71" t="n"/>
      <c r="D147" s="71" t="n"/>
      <c r="E147" s="71" t="n"/>
      <c r="F147" s="71" t="n"/>
      <c r="G147" s="71" t="n"/>
      <c r="H147" s="71" t="n"/>
      <c r="I147" s="71" t="n"/>
      <c r="J147" s="71" t="n"/>
      <c r="K147" s="71" t="n"/>
      <c r="L147" s="71" t="n"/>
      <c r="M147" s="71" t="n"/>
      <c r="N147" s="71" t="n"/>
      <c r="O147" s="71" t="n"/>
      <c r="P147" s="71" t="n"/>
      <c r="Q147" s="71" t="n"/>
      <c r="R147" s="71" t="n"/>
      <c r="S147" s="71" t="n"/>
      <c r="T147" s="71" t="n"/>
      <c r="U147" s="18" t="n"/>
      <c r="V147" s="19" t="n"/>
      <c r="W147" s="19" t="n"/>
      <c r="X147" s="20" t="n"/>
      <c r="Y147" s="3">
        <f>V147-W147</f>
        <v/>
      </c>
      <c r="Z147" s="3">
        <f>Y147*X147</f>
        <v/>
      </c>
      <c r="AA147" s="5">
        <f>4416/X147</f>
        <v/>
      </c>
      <c r="AB147" s="5">
        <f>-100+(100*AA147/Y147)</f>
        <v/>
      </c>
    </row>
    <row r="148">
      <c r="A148" s="49" t="n">
        <v>49</v>
      </c>
      <c r="C148" s="50" t="n">
        <v>0.5868055555555556</v>
      </c>
      <c r="D148" s="40" t="inlineStr">
        <is>
          <t>sound wav ~2min</t>
        </is>
      </c>
      <c r="E148" s="33" t="inlineStr">
        <is>
          <t>129/83/87</t>
        </is>
      </c>
      <c r="F148" s="40" t="inlineStr">
        <is>
          <t>ekg pdf ~30sec</t>
        </is>
      </c>
      <c r="G148" s="52" t="n">
        <v>27.4</v>
      </c>
      <c r="H148" s="48" t="n">
        <v>0.5</v>
      </c>
      <c r="I148" s="40" t="n">
        <v>1016</v>
      </c>
      <c r="J148" s="40" t="n">
        <v>35</v>
      </c>
      <c r="K148" s="48" t="n">
        <v>0.97</v>
      </c>
      <c r="L148" s="40" t="n">
        <v>89</v>
      </c>
      <c r="M148" s="75" t="inlineStr">
        <is>
          <t>124/80/88  SpO2 96% synus rhythm</t>
        </is>
      </c>
      <c r="N148" s="40" t="inlineStr">
        <is>
          <t>low stress</t>
        </is>
      </c>
      <c r="O148" s="73" t="n"/>
      <c r="P148" s="49" t="inlineStr">
        <is>
          <t>after 5 min smoking</t>
        </is>
      </c>
      <c r="Q148" s="49" t="n">
        <v>11</v>
      </c>
      <c r="R148" s="49" t="n">
        <v>16</v>
      </c>
      <c r="S148" s="49" t="n">
        <v>21</v>
      </c>
      <c r="T148" s="49" t="inlineStr">
        <is>
          <t>sunny</t>
        </is>
      </c>
      <c r="U148" s="13" t="n"/>
      <c r="V148" s="14" t="n">
        <v>129</v>
      </c>
      <c r="W148" s="14" t="n">
        <v>83</v>
      </c>
      <c r="X148" s="15" t="n">
        <v>87</v>
      </c>
      <c r="Y148" s="3">
        <f>V148-W148</f>
        <v/>
      </c>
      <c r="Z148" s="3">
        <f>Y148*X148</f>
        <v/>
      </c>
      <c r="AA148" s="5">
        <f>4416/X148</f>
        <v/>
      </c>
      <c r="AB148" s="5">
        <f>-100+(100*AA148/Y148)</f>
        <v/>
      </c>
    </row>
    <row r="149">
      <c r="A149" s="70" t="n"/>
      <c r="C149" s="70" t="n"/>
      <c r="D149" s="70" t="n"/>
      <c r="E149" s="70" t="n"/>
      <c r="F149" s="70" t="n"/>
      <c r="G149" s="70" t="n"/>
      <c r="H149" s="70" t="n"/>
      <c r="I149" s="70" t="n"/>
      <c r="J149" s="70" t="n"/>
      <c r="K149" s="70" t="n"/>
      <c r="L149" s="70" t="n"/>
      <c r="M149" s="70" t="n"/>
      <c r="N149" s="70" t="n"/>
      <c r="O149" s="70" t="n"/>
      <c r="P149" s="70" t="n"/>
      <c r="Q149" s="70" t="n"/>
      <c r="R149" s="70" t="n"/>
      <c r="S149" s="70" t="n"/>
      <c r="T149" s="70" t="n"/>
      <c r="U149" s="16" t="n"/>
      <c r="X149" s="17" t="n"/>
      <c r="Y149" s="3">
        <f>V149-W149</f>
        <v/>
      </c>
      <c r="Z149" s="3">
        <f>Y149*X149</f>
        <v/>
      </c>
      <c r="AA149" s="5">
        <f>4416/X149</f>
        <v/>
      </c>
      <c r="AB149" s="5">
        <f>-100+(100*AA149/Y149)</f>
        <v/>
      </c>
    </row>
    <row r="150">
      <c r="A150" s="71" t="n"/>
      <c r="C150" s="71" t="n"/>
      <c r="D150" s="71" t="n"/>
      <c r="E150" s="71" t="n"/>
      <c r="F150" s="71" t="n"/>
      <c r="G150" s="71" t="n"/>
      <c r="H150" s="71" t="n"/>
      <c r="I150" s="71" t="n"/>
      <c r="J150" s="71" t="n"/>
      <c r="K150" s="71" t="n"/>
      <c r="L150" s="71" t="n"/>
      <c r="M150" s="71" t="n"/>
      <c r="N150" s="71" t="n"/>
      <c r="O150" s="71" t="n"/>
      <c r="P150" s="71" t="n"/>
      <c r="Q150" s="71" t="n"/>
      <c r="R150" s="71" t="n"/>
      <c r="S150" s="71" t="n"/>
      <c r="T150" s="71" t="n"/>
      <c r="U150" s="18" t="n"/>
      <c r="V150" s="19" t="n"/>
      <c r="W150" s="19" t="n"/>
      <c r="X150" s="20" t="n"/>
      <c r="Y150" s="3">
        <f>V150-W150</f>
        <v/>
      </c>
      <c r="Z150" s="3">
        <f>Y150*X150</f>
        <v/>
      </c>
      <c r="AA150" s="5">
        <f>4416/X150</f>
        <v/>
      </c>
      <c r="AB150" s="5">
        <f>-100+(100*AA150/Y150)</f>
        <v/>
      </c>
    </row>
    <row r="151" ht="15" customHeight="1">
      <c r="A151" s="49" t="n">
        <v>50</v>
      </c>
      <c r="C151" s="50" t="n">
        <v>0.6638888888888889</v>
      </c>
      <c r="D151" s="40" t="inlineStr">
        <is>
          <t>sound wav ~2min</t>
        </is>
      </c>
      <c r="E151" s="33" t="inlineStr">
        <is>
          <t>123/82/100</t>
        </is>
      </c>
      <c r="F151" s="40" t="inlineStr">
        <is>
          <t>ekg pdf ~30sec</t>
        </is>
      </c>
      <c r="G151" s="52" t="n">
        <v>27.6</v>
      </c>
      <c r="H151" s="48" t="n">
        <v>0.5</v>
      </c>
      <c r="I151" s="40" t="n">
        <v>1015</v>
      </c>
      <c r="J151" s="40" t="n">
        <v>36.1</v>
      </c>
      <c r="K151" s="48" t="n">
        <v>0.96</v>
      </c>
      <c r="L151" s="40" t="n">
        <v>101</v>
      </c>
      <c r="M151" s="75" t="inlineStr">
        <is>
          <t>126/83/102  SpO2 94% synus rhythm</t>
        </is>
      </c>
      <c r="N151" s="40" t="inlineStr">
        <is>
          <t>low stress</t>
        </is>
      </c>
      <c r="O151" s="73" t="n"/>
      <c r="P151" s="49" t="inlineStr">
        <is>
          <t>after lunch &amp; office activities</t>
        </is>
      </c>
      <c r="Q151" s="49" t="n">
        <v>9</v>
      </c>
      <c r="R151" s="49" t="n">
        <v>13</v>
      </c>
      <c r="S151" s="49" t="n">
        <v>15</v>
      </c>
      <c r="T151" s="49" t="inlineStr">
        <is>
          <t>sunny</t>
        </is>
      </c>
      <c r="U151" s="13" t="n"/>
      <c r="V151" s="14" t="n">
        <v>123</v>
      </c>
      <c r="W151" s="14" t="n">
        <v>82</v>
      </c>
      <c r="X151" s="15" t="n">
        <v>100</v>
      </c>
      <c r="Y151" s="3">
        <f>V151-W151</f>
        <v/>
      </c>
      <c r="Z151" s="3">
        <f>Y151*X151</f>
        <v/>
      </c>
      <c r="AA151" s="5">
        <f>4416/X151</f>
        <v/>
      </c>
      <c r="AB151" s="5">
        <f>-100+(100*AA151/Y151)</f>
        <v/>
      </c>
    </row>
    <row r="152">
      <c r="A152" s="70" t="n"/>
      <c r="B152" s="3" t="inlineStr">
        <is>
          <t>plus 1500 steps</t>
        </is>
      </c>
      <c r="C152" s="70" t="n"/>
      <c r="D152" s="70" t="n"/>
      <c r="E152" s="70" t="n"/>
      <c r="F152" s="70" t="n"/>
      <c r="G152" s="70" t="n"/>
      <c r="H152" s="70" t="n"/>
      <c r="I152" s="70" t="n"/>
      <c r="J152" s="70" t="n"/>
      <c r="K152" s="70" t="n"/>
      <c r="L152" s="70" t="n"/>
      <c r="M152" s="70" t="n"/>
      <c r="N152" s="70" t="n"/>
      <c r="O152" s="70" t="n"/>
      <c r="P152" s="70" t="n"/>
      <c r="Q152" s="70" t="n"/>
      <c r="R152" s="70" t="n"/>
      <c r="S152" s="70" t="n"/>
      <c r="T152" s="70" t="n"/>
      <c r="U152" s="16" t="n"/>
      <c r="X152" s="17" t="n"/>
      <c r="Y152" s="3">
        <f>V152-W152</f>
        <v/>
      </c>
      <c r="Z152" s="3">
        <f>Y152*X152</f>
        <v/>
      </c>
      <c r="AA152" s="5">
        <f>4416/X152</f>
        <v/>
      </c>
      <c r="AB152" s="5">
        <f>-100+(100*AA152/Y152)</f>
        <v/>
      </c>
    </row>
    <row r="153">
      <c r="A153" s="71" t="n"/>
      <c r="C153" s="71" t="n"/>
      <c r="D153" s="71" t="n"/>
      <c r="E153" s="71" t="n"/>
      <c r="F153" s="71" t="n"/>
      <c r="G153" s="71" t="n"/>
      <c r="H153" s="71" t="n"/>
      <c r="I153" s="71" t="n"/>
      <c r="J153" s="71" t="n"/>
      <c r="K153" s="71" t="n"/>
      <c r="L153" s="71" t="n"/>
      <c r="M153" s="71" t="n"/>
      <c r="N153" s="71" t="n"/>
      <c r="O153" s="71" t="n"/>
      <c r="P153" s="71" t="n"/>
      <c r="Q153" s="71" t="n"/>
      <c r="R153" s="71" t="n"/>
      <c r="S153" s="71" t="n"/>
      <c r="T153" s="71" t="n"/>
      <c r="U153" s="18" t="n"/>
      <c r="V153" s="19" t="n"/>
      <c r="W153" s="19" t="n"/>
      <c r="X153" s="20" t="n"/>
      <c r="Y153" s="3">
        <f>V153-W153</f>
        <v/>
      </c>
      <c r="Z153" s="3">
        <f>Y153*X153</f>
        <v/>
      </c>
      <c r="AA153" s="5">
        <f>4416/X153</f>
        <v/>
      </c>
      <c r="AB153" s="5">
        <f>-100+(100*AA153/Y153)</f>
        <v/>
      </c>
    </row>
    <row r="154" ht="15" customHeight="1">
      <c r="A154" s="49" t="n">
        <v>51</v>
      </c>
      <c r="C154" s="50" t="n">
        <v>0.7479166666666667</v>
      </c>
      <c r="D154" s="40" t="inlineStr">
        <is>
          <t>sound wav ~2min</t>
        </is>
      </c>
      <c r="E154" s="33" t="inlineStr">
        <is>
          <t>138/85/100</t>
        </is>
      </c>
      <c r="F154" s="40" t="inlineStr">
        <is>
          <t>ekg pdf ~30sec</t>
        </is>
      </c>
      <c r="G154" s="52" t="n">
        <v>25.9</v>
      </c>
      <c r="H154" s="48" t="n">
        <v>0.61</v>
      </c>
      <c r="I154" s="40" t="n">
        <v>1015</v>
      </c>
      <c r="J154" s="40" t="n">
        <v>36.3</v>
      </c>
      <c r="K154" s="48" t="n">
        <v>0.96</v>
      </c>
      <c r="L154" s="40" t="n">
        <v>100</v>
      </c>
      <c r="M154" s="75" t="inlineStr">
        <is>
          <t>129/85/101  SpO2 89% synus rhythm</t>
        </is>
      </c>
      <c r="N154" s="40" t="inlineStr">
        <is>
          <t>medium stress</t>
        </is>
      </c>
      <c r="O154" s="73" t="n"/>
      <c r="P154" s="49" t="inlineStr">
        <is>
          <t>after 5 min smoking</t>
        </is>
      </c>
      <c r="Q154" s="49" t="n">
        <v>8</v>
      </c>
      <c r="R154" s="49" t="n">
        <v>12</v>
      </c>
      <c r="S154" s="49" t="n">
        <v>12</v>
      </c>
      <c r="T154" s="49" t="inlineStr">
        <is>
          <t>sunny</t>
        </is>
      </c>
      <c r="U154" s="13" t="n"/>
      <c r="V154" s="14" t="n">
        <v>138</v>
      </c>
      <c r="W154" s="14" t="n">
        <v>85</v>
      </c>
      <c r="X154" s="15" t="n">
        <v>100</v>
      </c>
      <c r="Y154" s="3">
        <f>V154-W154</f>
        <v/>
      </c>
      <c r="Z154" s="3">
        <f>Y154*X154</f>
        <v/>
      </c>
      <c r="AA154" s="5">
        <f>4416/X154</f>
        <v/>
      </c>
      <c r="AB154" s="5">
        <f>-100+(100*AA154/Y154)</f>
        <v/>
      </c>
    </row>
    <row r="155">
      <c r="A155" s="70" t="n"/>
      <c r="B155" s="3" t="inlineStr">
        <is>
          <t>plus 500 steps</t>
        </is>
      </c>
      <c r="C155" s="70" t="n"/>
      <c r="D155" s="70" t="n"/>
      <c r="E155" s="70" t="n"/>
      <c r="F155" s="70" t="n"/>
      <c r="G155" s="70" t="n"/>
      <c r="H155" s="70" t="n"/>
      <c r="I155" s="70" t="n"/>
      <c r="J155" s="70" t="n"/>
      <c r="K155" s="70" t="n"/>
      <c r="L155" s="70" t="n"/>
      <c r="M155" s="70" t="n"/>
      <c r="N155" s="70" t="n"/>
      <c r="O155" s="70" t="n"/>
      <c r="P155" s="70" t="n"/>
      <c r="Q155" s="70" t="n"/>
      <c r="R155" s="70" t="n"/>
      <c r="S155" s="70" t="n"/>
      <c r="T155" s="70" t="n"/>
      <c r="U155" s="16" t="n"/>
      <c r="X155" s="17" t="n"/>
      <c r="Y155" s="3">
        <f>V155-W155</f>
        <v/>
      </c>
      <c r="Z155" s="3">
        <f>Y155*X155</f>
        <v/>
      </c>
      <c r="AA155" s="5">
        <f>4416/X155</f>
        <v/>
      </c>
      <c r="AB155" s="5">
        <f>-100+(100*AA155/Y155)</f>
        <v/>
      </c>
    </row>
    <row r="156">
      <c r="A156" s="71" t="n"/>
      <c r="C156" s="71" t="n"/>
      <c r="D156" s="71" t="n"/>
      <c r="E156" s="71" t="n"/>
      <c r="F156" s="71" t="n"/>
      <c r="G156" s="71" t="n"/>
      <c r="H156" s="71" t="n"/>
      <c r="I156" s="71" t="n"/>
      <c r="J156" s="71" t="n"/>
      <c r="K156" s="71" t="n"/>
      <c r="L156" s="71" t="n"/>
      <c r="M156" s="71" t="n"/>
      <c r="N156" s="71" t="n"/>
      <c r="O156" s="71" t="n"/>
      <c r="P156" s="71" t="n"/>
      <c r="Q156" s="71" t="n"/>
      <c r="R156" s="71" t="n"/>
      <c r="S156" s="71" t="n"/>
      <c r="T156" s="71" t="n"/>
      <c r="U156" s="18" t="n"/>
      <c r="V156" s="19" t="n"/>
      <c r="W156" s="19" t="n"/>
      <c r="X156" s="20" t="n"/>
      <c r="Y156" s="3">
        <f>V156-W156</f>
        <v/>
      </c>
      <c r="Z156" s="3">
        <f>Y156*X156</f>
        <v/>
      </c>
      <c r="AA156" s="5">
        <f>4416/X156</f>
        <v/>
      </c>
      <c r="AB156" s="5">
        <f>-100+(100*AA156/Y156)</f>
        <v/>
      </c>
    </row>
    <row r="157" ht="15" customHeight="1">
      <c r="A157" s="49" t="n">
        <v>52</v>
      </c>
      <c r="C157" s="50" t="n">
        <v>0.8819444444444444</v>
      </c>
      <c r="D157" s="40" t="inlineStr">
        <is>
          <t>sound wav ~2min</t>
        </is>
      </c>
      <c r="E157" s="33" t="inlineStr">
        <is>
          <t>132/84/84</t>
        </is>
      </c>
      <c r="F157" s="40" t="inlineStr">
        <is>
          <t>ekg pdf ~30sec</t>
        </is>
      </c>
      <c r="G157" s="52" t="n">
        <v>21.5</v>
      </c>
      <c r="H157" s="48" t="n">
        <v>0.74</v>
      </c>
      <c r="I157" s="40" t="n">
        <v>1015</v>
      </c>
      <c r="J157" s="40" t="n">
        <v>36.8</v>
      </c>
      <c r="K157" s="48" t="n">
        <v>0.96</v>
      </c>
      <c r="L157" s="40" t="n">
        <v>84</v>
      </c>
      <c r="M157" s="75" t="inlineStr">
        <is>
          <t>127/83/86  SpO2 98% synus rhythm</t>
        </is>
      </c>
      <c r="N157" s="40" t="inlineStr">
        <is>
          <t>low stress</t>
        </is>
      </c>
      <c r="O157" s="73" t="n"/>
      <c r="P157" s="49" t="inlineStr">
        <is>
          <t>after 10 min smoking</t>
        </is>
      </c>
      <c r="Q157" s="49" t="n">
        <v>10</v>
      </c>
      <c r="R157" s="49" t="n">
        <v>14</v>
      </c>
      <c r="S157" s="49" t="n">
        <v>17</v>
      </c>
      <c r="T157" s="49" t="inlineStr">
        <is>
          <t>clear</t>
        </is>
      </c>
      <c r="U157" s="13" t="n"/>
      <c r="V157" s="14" t="n">
        <v>132</v>
      </c>
      <c r="W157" s="14" t="n">
        <v>84</v>
      </c>
      <c r="X157" s="15" t="n">
        <v>84</v>
      </c>
      <c r="Y157" s="3">
        <f>V157-W157</f>
        <v/>
      </c>
      <c r="Z157" s="3">
        <f>Y157*X157</f>
        <v/>
      </c>
      <c r="AA157" s="5">
        <f>4416/X157</f>
        <v/>
      </c>
      <c r="AB157" s="5">
        <f>-100+(100*AA157/Y157)</f>
        <v/>
      </c>
    </row>
    <row r="158">
      <c r="A158" s="70" t="n"/>
      <c r="B158" s="3" t="inlineStr">
        <is>
          <t>plus 3500 steps</t>
        </is>
      </c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0" t="n"/>
      <c r="M158" s="70" t="n"/>
      <c r="N158" s="70" t="n"/>
      <c r="O158" s="70" t="n"/>
      <c r="P158" s="70" t="n"/>
      <c r="Q158" s="70" t="n"/>
      <c r="R158" s="70" t="n"/>
      <c r="S158" s="70" t="n"/>
      <c r="T158" s="70" t="n"/>
      <c r="U158" s="16" t="n"/>
      <c r="X158" s="17" t="n"/>
      <c r="Y158" s="3">
        <f>V158-W158</f>
        <v/>
      </c>
      <c r="Z158" s="3">
        <f>Y158*X158</f>
        <v/>
      </c>
      <c r="AA158" s="5">
        <f>4416/X158</f>
        <v/>
      </c>
      <c r="AB158" s="5">
        <f>-100+(100*AA158/Y158)</f>
        <v/>
      </c>
    </row>
    <row r="159">
      <c r="A159" s="71" t="n"/>
      <c r="C159" s="71" t="n"/>
      <c r="D159" s="71" t="n"/>
      <c r="E159" s="71" t="n"/>
      <c r="F159" s="71" t="n"/>
      <c r="G159" s="71" t="n"/>
      <c r="H159" s="71" t="n"/>
      <c r="I159" s="71" t="n"/>
      <c r="J159" s="71" t="n"/>
      <c r="K159" s="71" t="n"/>
      <c r="L159" s="71" t="n"/>
      <c r="M159" s="71" t="n"/>
      <c r="N159" s="71" t="n"/>
      <c r="O159" s="71" t="n"/>
      <c r="P159" s="71" t="n"/>
      <c r="Q159" s="71" t="n"/>
      <c r="R159" s="71" t="n"/>
      <c r="S159" s="71" t="n"/>
      <c r="T159" s="71" t="n"/>
      <c r="U159" s="18" t="n"/>
      <c r="V159" s="19" t="n"/>
      <c r="W159" s="19" t="n"/>
      <c r="X159" s="20" t="n"/>
      <c r="Y159" s="3">
        <f>V159-W159</f>
        <v/>
      </c>
      <c r="Z159" s="3">
        <f>Y159*X159</f>
        <v/>
      </c>
      <c r="AA159" s="5">
        <f>4416/X159</f>
        <v/>
      </c>
      <c r="AB159" s="5">
        <f>-100+(100*AA159/Y159)</f>
        <v/>
      </c>
    </row>
    <row r="160">
      <c r="A160" s="49" t="n">
        <v>53</v>
      </c>
      <c r="C160" s="50" t="n"/>
      <c r="D160" s="40" t="n"/>
      <c r="E160" s="40" t="n"/>
      <c r="F160" s="40" t="n"/>
      <c r="G160" s="52" t="n"/>
      <c r="H160" s="48" t="n"/>
      <c r="I160" s="40" t="n"/>
      <c r="J160" s="40" t="n"/>
      <c r="K160" s="48" t="n"/>
      <c r="L160" s="40" t="n"/>
      <c r="M160" s="47" t="n"/>
      <c r="N160" s="40" t="n"/>
      <c r="O160" s="47" t="n"/>
      <c r="P160" s="49" t="n"/>
      <c r="Q160" s="49" t="n"/>
      <c r="R160" s="49" t="n"/>
      <c r="S160" s="49" t="n"/>
      <c r="T160" s="49" t="n"/>
      <c r="Y160" s="3">
        <f>SUM(Y4:Y159)</f>
        <v/>
      </c>
      <c r="Z160" s="3">
        <f>SUM(Z4:Z159)</f>
        <v/>
      </c>
    </row>
    <row r="161">
      <c r="A161" s="70" t="n"/>
      <c r="C161" s="70" t="n"/>
      <c r="D161" s="70" t="n"/>
      <c r="E161" s="70" t="n"/>
      <c r="F161" s="70" t="n"/>
      <c r="G161" s="70" t="n"/>
      <c r="H161" s="70" t="n"/>
      <c r="I161" s="70" t="n"/>
      <c r="J161" s="70" t="n"/>
      <c r="K161" s="70" t="n"/>
      <c r="L161" s="70" t="n"/>
      <c r="M161" s="70" t="n"/>
      <c r="N161" s="70" t="n"/>
      <c r="O161" s="70" t="n"/>
      <c r="P161" s="70" t="n"/>
      <c r="Q161" s="70" t="n"/>
      <c r="R161" s="70" t="n"/>
      <c r="S161" s="70" t="n"/>
      <c r="T161" s="70" t="n"/>
    </row>
    <row r="162">
      <c r="A162" s="71" t="n"/>
      <c r="C162" s="71" t="n"/>
      <c r="D162" s="71" t="n"/>
      <c r="E162" s="71" t="n"/>
      <c r="F162" s="71" t="n"/>
      <c r="G162" s="71" t="n"/>
      <c r="H162" s="71" t="n"/>
      <c r="I162" s="71" t="n"/>
      <c r="J162" s="71" t="n"/>
      <c r="K162" s="71" t="n"/>
      <c r="L162" s="71" t="n"/>
      <c r="M162" s="71" t="n"/>
      <c r="N162" s="71" t="n"/>
      <c r="O162" s="71" t="n"/>
      <c r="P162" s="71" t="n"/>
      <c r="Q162" s="71" t="n"/>
      <c r="R162" s="71" t="n"/>
      <c r="S162" s="71" t="n"/>
      <c r="T162" s="71" t="n"/>
      <c r="Y162" s="3">
        <f>Y160/50</f>
        <v/>
      </c>
      <c r="Z162" s="3">
        <f>Z160/50</f>
        <v/>
      </c>
    </row>
    <row r="163">
      <c r="A163" s="49" t="n">
        <v>54</v>
      </c>
      <c r="C163" s="50" t="n"/>
      <c r="D163" s="40" t="n"/>
      <c r="E163" s="40" t="n"/>
      <c r="F163" s="40" t="n"/>
      <c r="G163" s="52" t="n"/>
      <c r="H163" s="48" t="n"/>
      <c r="I163" s="40" t="n"/>
      <c r="J163" s="40" t="n"/>
      <c r="K163" s="48" t="n"/>
      <c r="L163" s="40" t="n"/>
      <c r="M163" s="47" t="n"/>
      <c r="N163" s="40" t="n"/>
      <c r="O163" s="47" t="n"/>
      <c r="P163" s="49" t="n"/>
      <c r="Q163" s="49" t="n"/>
      <c r="R163" s="49" t="n"/>
      <c r="S163" s="49" t="n"/>
      <c r="T163" s="49" t="n"/>
    </row>
    <row r="164">
      <c r="A164" s="70" t="n"/>
      <c r="C164" s="70" t="n"/>
      <c r="D164" s="70" t="n"/>
      <c r="E164" s="70" t="n"/>
      <c r="F164" s="70" t="n"/>
      <c r="G164" s="70" t="n"/>
      <c r="H164" s="70" t="n"/>
      <c r="I164" s="70" t="n"/>
      <c r="J164" s="70" t="n"/>
      <c r="K164" s="70" t="n"/>
      <c r="L164" s="70" t="n"/>
      <c r="M164" s="70" t="n"/>
      <c r="N164" s="70" t="n"/>
      <c r="O164" s="70" t="n"/>
      <c r="P164" s="70" t="n"/>
      <c r="Q164" s="70" t="n"/>
      <c r="R164" s="70" t="n"/>
      <c r="S164" s="70" t="n"/>
      <c r="T164" s="70" t="n"/>
    </row>
    <row r="165">
      <c r="A165" s="71" t="n"/>
      <c r="C165" s="71" t="n"/>
      <c r="D165" s="71" t="n"/>
      <c r="E165" s="71" t="n"/>
      <c r="F165" s="71" t="n"/>
      <c r="G165" s="71" t="n"/>
      <c r="H165" s="71" t="n"/>
      <c r="I165" s="71" t="n"/>
      <c r="J165" s="71" t="n"/>
      <c r="K165" s="71" t="n"/>
      <c r="L165" s="71" t="n"/>
      <c r="M165" s="71" t="n"/>
      <c r="N165" s="71" t="n"/>
      <c r="O165" s="71" t="n"/>
      <c r="P165" s="71" t="n"/>
      <c r="Q165" s="71" t="n"/>
      <c r="R165" s="71" t="n"/>
      <c r="S165" s="71" t="n"/>
      <c r="T165" s="71" t="n"/>
    </row>
    <row r="166">
      <c r="A166" s="49" t="n">
        <v>55</v>
      </c>
      <c r="C166" s="50" t="n"/>
      <c r="D166" s="40" t="n"/>
      <c r="E166" s="40" t="n"/>
      <c r="F166" s="40" t="n"/>
      <c r="G166" s="52" t="n"/>
      <c r="H166" s="48" t="n"/>
      <c r="I166" s="40" t="n"/>
      <c r="J166" s="40" t="n"/>
      <c r="K166" s="48" t="n"/>
      <c r="L166" s="40" t="n"/>
      <c r="M166" s="47" t="n"/>
      <c r="N166" s="40" t="n"/>
      <c r="O166" s="47" t="n"/>
      <c r="P166" s="49" t="n"/>
      <c r="Q166" s="49" t="n"/>
      <c r="R166" s="49" t="n"/>
      <c r="S166" s="49" t="n"/>
      <c r="T166" s="49" t="n"/>
    </row>
    <row r="167">
      <c r="A167" s="70" t="n"/>
      <c r="C167" s="70" t="n"/>
      <c r="D167" s="70" t="n"/>
      <c r="E167" s="70" t="n"/>
      <c r="F167" s="70" t="n"/>
      <c r="G167" s="70" t="n"/>
      <c r="H167" s="70" t="n"/>
      <c r="I167" s="70" t="n"/>
      <c r="J167" s="70" t="n"/>
      <c r="K167" s="70" t="n"/>
      <c r="L167" s="70" t="n"/>
      <c r="M167" s="70" t="n"/>
      <c r="N167" s="70" t="n"/>
      <c r="O167" s="70" t="n"/>
      <c r="P167" s="70" t="n"/>
      <c r="Q167" s="70" t="n"/>
      <c r="R167" s="70" t="n"/>
      <c r="S167" s="70" t="n"/>
      <c r="T167" s="70" t="n"/>
    </row>
    <row r="168">
      <c r="A168" s="71" t="n"/>
      <c r="C168" s="71" t="n"/>
      <c r="D168" s="71" t="n"/>
      <c r="E168" s="71" t="n"/>
      <c r="F168" s="71" t="n"/>
      <c r="G168" s="71" t="n"/>
      <c r="H168" s="71" t="n"/>
      <c r="I168" s="71" t="n"/>
      <c r="J168" s="71" t="n"/>
      <c r="K168" s="71" t="n"/>
      <c r="L168" s="71" t="n"/>
      <c r="M168" s="71" t="n"/>
      <c r="N168" s="71" t="n"/>
      <c r="O168" s="71" t="n"/>
      <c r="P168" s="71" t="n"/>
      <c r="Q168" s="71" t="n"/>
      <c r="R168" s="71" t="n"/>
      <c r="S168" s="71" t="n"/>
      <c r="T168" s="71" t="n"/>
    </row>
    <row r="169">
      <c r="A169" s="49" t="n">
        <v>56</v>
      </c>
      <c r="C169" s="50" t="n"/>
      <c r="D169" s="40" t="n"/>
      <c r="E169" s="40" t="n"/>
      <c r="F169" s="40" t="n"/>
      <c r="G169" s="52" t="n"/>
      <c r="H169" s="48" t="n"/>
      <c r="I169" s="40" t="n"/>
      <c r="J169" s="40" t="n"/>
      <c r="K169" s="48" t="n"/>
      <c r="L169" s="40" t="n"/>
      <c r="M169" s="47" t="n"/>
      <c r="N169" s="40" t="n"/>
      <c r="O169" s="47" t="n"/>
      <c r="P169" s="49" t="n"/>
      <c r="Q169" s="49" t="n"/>
      <c r="R169" s="49" t="n"/>
      <c r="S169" s="49" t="n"/>
      <c r="T169" s="49" t="n"/>
    </row>
    <row r="170">
      <c r="A170" s="70" t="n"/>
      <c r="C170" s="70" t="n"/>
      <c r="D170" s="70" t="n"/>
      <c r="E170" s="70" t="n"/>
      <c r="F170" s="70" t="n"/>
      <c r="G170" s="70" t="n"/>
      <c r="H170" s="70" t="n"/>
      <c r="I170" s="70" t="n"/>
      <c r="J170" s="70" t="n"/>
      <c r="K170" s="70" t="n"/>
      <c r="L170" s="70" t="n"/>
      <c r="M170" s="70" t="n"/>
      <c r="N170" s="70" t="n"/>
      <c r="O170" s="70" t="n"/>
      <c r="P170" s="70" t="n"/>
      <c r="Q170" s="70" t="n"/>
      <c r="R170" s="70" t="n"/>
      <c r="S170" s="70" t="n"/>
      <c r="T170" s="70" t="n"/>
    </row>
    <row r="171">
      <c r="A171" s="71" t="n"/>
      <c r="C171" s="71" t="n"/>
      <c r="D171" s="71" t="n"/>
      <c r="E171" s="71" t="n"/>
      <c r="F171" s="71" t="n"/>
      <c r="G171" s="71" t="n"/>
      <c r="H171" s="71" t="n"/>
      <c r="I171" s="71" t="n"/>
      <c r="J171" s="71" t="n"/>
      <c r="K171" s="71" t="n"/>
      <c r="L171" s="71" t="n"/>
      <c r="M171" s="71" t="n"/>
      <c r="N171" s="71" t="n"/>
      <c r="O171" s="71" t="n"/>
      <c r="P171" s="71" t="n"/>
      <c r="Q171" s="71" t="n"/>
      <c r="R171" s="71" t="n"/>
      <c r="S171" s="71" t="n"/>
      <c r="T171" s="71" t="n"/>
    </row>
    <row r="172">
      <c r="A172" s="49" t="n">
        <v>57</v>
      </c>
      <c r="C172" s="50" t="n"/>
      <c r="D172" s="40" t="n"/>
      <c r="E172" s="40" t="n"/>
      <c r="F172" s="40" t="n"/>
      <c r="G172" s="52" t="n"/>
      <c r="H172" s="48" t="n"/>
      <c r="I172" s="40" t="n"/>
      <c r="J172" s="40" t="n"/>
      <c r="K172" s="48" t="n"/>
      <c r="L172" s="40" t="n"/>
      <c r="M172" s="47" t="n"/>
      <c r="N172" s="40" t="n"/>
      <c r="O172" s="47" t="n"/>
      <c r="P172" s="49" t="n"/>
      <c r="Q172" s="49" t="n"/>
      <c r="R172" s="49" t="n"/>
      <c r="S172" s="49" t="n"/>
      <c r="T172" s="49" t="n"/>
    </row>
    <row r="173">
      <c r="A173" s="70" t="n"/>
      <c r="C173" s="70" t="n"/>
      <c r="D173" s="70" t="n"/>
      <c r="E173" s="70" t="n"/>
      <c r="F173" s="70" t="n"/>
      <c r="G173" s="70" t="n"/>
      <c r="H173" s="70" t="n"/>
      <c r="I173" s="70" t="n"/>
      <c r="J173" s="70" t="n"/>
      <c r="K173" s="70" t="n"/>
      <c r="L173" s="70" t="n"/>
      <c r="M173" s="70" t="n"/>
      <c r="N173" s="70" t="n"/>
      <c r="O173" s="70" t="n"/>
      <c r="P173" s="70" t="n"/>
      <c r="Q173" s="70" t="n"/>
      <c r="R173" s="70" t="n"/>
      <c r="S173" s="70" t="n"/>
      <c r="T173" s="70" t="n"/>
    </row>
    <row r="174">
      <c r="A174" s="71" t="n"/>
      <c r="C174" s="71" t="n"/>
      <c r="D174" s="71" t="n"/>
      <c r="E174" s="71" t="n"/>
      <c r="F174" s="71" t="n"/>
      <c r="G174" s="71" t="n"/>
      <c r="H174" s="71" t="n"/>
      <c r="I174" s="71" t="n"/>
      <c r="J174" s="71" t="n"/>
      <c r="K174" s="71" t="n"/>
      <c r="L174" s="71" t="n"/>
      <c r="M174" s="71" t="n"/>
      <c r="N174" s="71" t="n"/>
      <c r="O174" s="71" t="n"/>
      <c r="P174" s="71" t="n"/>
      <c r="Q174" s="71" t="n"/>
      <c r="R174" s="71" t="n"/>
      <c r="S174" s="71" t="n"/>
      <c r="T174" s="71" t="n"/>
    </row>
    <row r="175">
      <c r="A175" s="49" t="n">
        <v>58</v>
      </c>
      <c r="C175" s="50" t="n"/>
      <c r="D175" s="40" t="n"/>
      <c r="E175" s="40" t="n"/>
      <c r="F175" s="40" t="n"/>
      <c r="G175" s="52" t="n"/>
      <c r="H175" s="48" t="n"/>
      <c r="I175" s="40" t="n"/>
      <c r="J175" s="40" t="n"/>
      <c r="K175" s="48" t="n"/>
      <c r="L175" s="40" t="n"/>
      <c r="M175" s="47" t="n"/>
      <c r="N175" s="40" t="n"/>
      <c r="O175" s="47" t="n"/>
      <c r="P175" s="49" t="n"/>
      <c r="Q175" s="49" t="n"/>
      <c r="R175" s="49" t="n"/>
      <c r="S175" s="49" t="n"/>
      <c r="T175" s="49" t="n"/>
    </row>
    <row r="176">
      <c r="A176" s="70" t="n"/>
      <c r="C176" s="70" t="n"/>
      <c r="D176" s="70" t="n"/>
      <c r="E176" s="70" t="n"/>
      <c r="F176" s="70" t="n"/>
      <c r="G176" s="70" t="n"/>
      <c r="H176" s="70" t="n"/>
      <c r="I176" s="70" t="n"/>
      <c r="J176" s="70" t="n"/>
      <c r="K176" s="70" t="n"/>
      <c r="L176" s="70" t="n"/>
      <c r="M176" s="70" t="n"/>
      <c r="N176" s="70" t="n"/>
      <c r="O176" s="70" t="n"/>
      <c r="P176" s="70" t="n"/>
      <c r="Q176" s="70" t="n"/>
      <c r="R176" s="70" t="n"/>
      <c r="S176" s="70" t="n"/>
      <c r="T176" s="70" t="n"/>
    </row>
    <row r="177">
      <c r="A177" s="71" t="n"/>
      <c r="C177" s="71" t="n"/>
      <c r="D177" s="71" t="n"/>
      <c r="E177" s="71" t="n"/>
      <c r="F177" s="71" t="n"/>
      <c r="G177" s="71" t="n"/>
      <c r="H177" s="71" t="n"/>
      <c r="I177" s="71" t="n"/>
      <c r="J177" s="71" t="n"/>
      <c r="K177" s="71" t="n"/>
      <c r="L177" s="71" t="n"/>
      <c r="M177" s="71" t="n"/>
      <c r="N177" s="71" t="n"/>
      <c r="O177" s="71" t="n"/>
      <c r="P177" s="71" t="n"/>
      <c r="Q177" s="71" t="n"/>
      <c r="R177" s="71" t="n"/>
      <c r="S177" s="71" t="n"/>
      <c r="T177" s="71" t="n"/>
    </row>
    <row r="178">
      <c r="A178" s="49" t="n">
        <v>59</v>
      </c>
      <c r="C178" s="50" t="n"/>
      <c r="D178" s="40" t="n"/>
      <c r="E178" s="40" t="n"/>
      <c r="F178" s="40" t="n"/>
      <c r="G178" s="52" t="n"/>
      <c r="H178" s="48" t="n"/>
      <c r="I178" s="40" t="n"/>
      <c r="J178" s="40" t="n"/>
      <c r="K178" s="48" t="n"/>
      <c r="L178" s="40" t="n"/>
      <c r="M178" s="47" t="n"/>
      <c r="N178" s="40" t="n"/>
      <c r="O178" s="47" t="n"/>
      <c r="P178" s="49" t="n"/>
      <c r="Q178" s="49" t="n"/>
      <c r="R178" s="49" t="n"/>
      <c r="S178" s="49" t="n"/>
      <c r="T178" s="49" t="n"/>
    </row>
    <row r="179">
      <c r="A179" s="70" t="n"/>
      <c r="C179" s="70" t="n"/>
      <c r="D179" s="70" t="n"/>
      <c r="E179" s="70" t="n"/>
      <c r="F179" s="70" t="n"/>
      <c r="G179" s="70" t="n"/>
      <c r="H179" s="70" t="n"/>
      <c r="I179" s="70" t="n"/>
      <c r="J179" s="70" t="n"/>
      <c r="K179" s="70" t="n"/>
      <c r="L179" s="70" t="n"/>
      <c r="M179" s="70" t="n"/>
      <c r="N179" s="70" t="n"/>
      <c r="O179" s="70" t="n"/>
      <c r="P179" s="70" t="n"/>
      <c r="Q179" s="70" t="n"/>
      <c r="R179" s="70" t="n"/>
      <c r="S179" s="70" t="n"/>
      <c r="T179" s="70" t="n"/>
    </row>
    <row r="180">
      <c r="A180" s="71" t="n"/>
      <c r="C180" s="71" t="n"/>
      <c r="D180" s="71" t="n"/>
      <c r="E180" s="71" t="n"/>
      <c r="F180" s="71" t="n"/>
      <c r="G180" s="71" t="n"/>
      <c r="H180" s="71" t="n"/>
      <c r="I180" s="71" t="n"/>
      <c r="J180" s="71" t="n"/>
      <c r="K180" s="71" t="n"/>
      <c r="L180" s="71" t="n"/>
      <c r="M180" s="71" t="n"/>
      <c r="N180" s="71" t="n"/>
      <c r="O180" s="71" t="n"/>
      <c r="P180" s="71" t="n"/>
      <c r="Q180" s="71" t="n"/>
      <c r="R180" s="71" t="n"/>
      <c r="S180" s="71" t="n"/>
      <c r="T180" s="71" t="n"/>
    </row>
    <row r="181">
      <c r="A181" s="49" t="n">
        <v>60</v>
      </c>
      <c r="C181" s="50" t="n"/>
      <c r="D181" s="40" t="n"/>
      <c r="E181" s="40" t="n"/>
      <c r="F181" s="40" t="n"/>
      <c r="G181" s="52" t="n"/>
      <c r="H181" s="48" t="n"/>
      <c r="I181" s="40" t="n"/>
      <c r="J181" s="40" t="n"/>
      <c r="K181" s="48" t="n"/>
      <c r="L181" s="40" t="n"/>
      <c r="M181" s="47" t="n"/>
      <c r="N181" s="40" t="n"/>
      <c r="O181" s="47" t="n"/>
      <c r="P181" s="49" t="n"/>
      <c r="Q181" s="49" t="n"/>
      <c r="R181" s="49" t="n"/>
      <c r="S181" s="49" t="n"/>
      <c r="T181" s="49" t="n"/>
    </row>
    <row r="182">
      <c r="A182" s="70" t="n"/>
      <c r="C182" s="70" t="n"/>
      <c r="D182" s="70" t="n"/>
      <c r="E182" s="70" t="n"/>
      <c r="F182" s="70" t="n"/>
      <c r="G182" s="70" t="n"/>
      <c r="H182" s="70" t="n"/>
      <c r="I182" s="70" t="n"/>
      <c r="J182" s="70" t="n"/>
      <c r="K182" s="70" t="n"/>
      <c r="L182" s="70" t="n"/>
      <c r="M182" s="70" t="n"/>
      <c r="N182" s="70" t="n"/>
      <c r="O182" s="70" t="n"/>
      <c r="P182" s="70" t="n"/>
      <c r="Q182" s="70" t="n"/>
      <c r="R182" s="70" t="n"/>
      <c r="S182" s="70" t="n"/>
      <c r="T182" s="70" t="n"/>
    </row>
    <row r="183">
      <c r="A183" s="71" t="n"/>
      <c r="C183" s="71" t="n"/>
      <c r="D183" s="71" t="n"/>
      <c r="E183" s="71" t="n"/>
      <c r="F183" s="71" t="n"/>
      <c r="G183" s="71" t="n"/>
      <c r="H183" s="71" t="n"/>
      <c r="I183" s="71" t="n"/>
      <c r="J183" s="71" t="n"/>
      <c r="K183" s="71" t="n"/>
      <c r="L183" s="71" t="n"/>
      <c r="M183" s="71" t="n"/>
      <c r="N183" s="71" t="n"/>
      <c r="O183" s="71" t="n"/>
      <c r="P183" s="71" t="n"/>
      <c r="Q183" s="71" t="n"/>
      <c r="R183" s="71" t="n"/>
      <c r="S183" s="71" t="n"/>
      <c r="T183" s="71" t="n"/>
    </row>
    <row r="184">
      <c r="A184" s="49" t="n">
        <v>61</v>
      </c>
      <c r="C184" s="50" t="n"/>
      <c r="D184" s="40" t="n"/>
      <c r="E184" s="40" t="n"/>
      <c r="F184" s="40" t="n"/>
      <c r="G184" s="52" t="n"/>
      <c r="H184" s="48" t="n"/>
      <c r="I184" s="40" t="n"/>
      <c r="J184" s="40" t="n"/>
      <c r="K184" s="48" t="n"/>
      <c r="L184" s="40" t="n"/>
      <c r="M184" s="47" t="n"/>
      <c r="N184" s="40" t="n"/>
      <c r="O184" s="47" t="n"/>
      <c r="P184" s="49" t="n"/>
      <c r="Q184" s="49" t="n"/>
      <c r="R184" s="49" t="n"/>
      <c r="S184" s="49" t="n"/>
      <c r="T184" s="49" t="n"/>
    </row>
    <row r="185">
      <c r="A185" s="70" t="n"/>
      <c r="C185" s="70" t="n"/>
      <c r="D185" s="70" t="n"/>
      <c r="E185" s="70" t="n"/>
      <c r="F185" s="70" t="n"/>
      <c r="G185" s="70" t="n"/>
      <c r="H185" s="70" t="n"/>
      <c r="I185" s="70" t="n"/>
      <c r="J185" s="70" t="n"/>
      <c r="K185" s="70" t="n"/>
      <c r="L185" s="70" t="n"/>
      <c r="M185" s="70" t="n"/>
      <c r="N185" s="70" t="n"/>
      <c r="O185" s="70" t="n"/>
      <c r="P185" s="70" t="n"/>
      <c r="Q185" s="70" t="n"/>
      <c r="R185" s="70" t="n"/>
      <c r="S185" s="70" t="n"/>
      <c r="T185" s="70" t="n"/>
    </row>
    <row r="186">
      <c r="A186" s="71" t="n"/>
      <c r="C186" s="71" t="n"/>
      <c r="D186" s="71" t="n"/>
      <c r="E186" s="71" t="n"/>
      <c r="F186" s="71" t="n"/>
      <c r="G186" s="71" t="n"/>
      <c r="H186" s="71" t="n"/>
      <c r="I186" s="71" t="n"/>
      <c r="J186" s="71" t="n"/>
      <c r="K186" s="71" t="n"/>
      <c r="L186" s="71" t="n"/>
      <c r="M186" s="71" t="n"/>
      <c r="N186" s="71" t="n"/>
      <c r="O186" s="71" t="n"/>
      <c r="P186" s="71" t="n"/>
      <c r="Q186" s="71" t="n"/>
      <c r="R186" s="71" t="n"/>
      <c r="S186" s="71" t="n"/>
      <c r="T186" s="71" t="n"/>
    </row>
    <row r="187">
      <c r="A187" s="49" t="n">
        <v>62</v>
      </c>
      <c r="C187" s="50" t="n"/>
      <c r="D187" s="40" t="n"/>
      <c r="E187" s="40" t="n"/>
      <c r="F187" s="40" t="n"/>
      <c r="G187" s="52" t="n"/>
      <c r="H187" s="48" t="n"/>
      <c r="I187" s="40" t="n"/>
      <c r="J187" s="40" t="n"/>
      <c r="K187" s="48" t="n"/>
      <c r="L187" s="40" t="n"/>
      <c r="M187" s="47" t="n"/>
      <c r="N187" s="40" t="n"/>
      <c r="O187" s="47" t="n"/>
      <c r="P187" s="49" t="n"/>
      <c r="Q187" s="49" t="n"/>
      <c r="R187" s="49" t="n"/>
      <c r="S187" s="49" t="n"/>
      <c r="T187" s="49" t="n"/>
    </row>
    <row r="188">
      <c r="A188" s="70" t="n"/>
      <c r="C188" s="70" t="n"/>
      <c r="D188" s="70" t="n"/>
      <c r="E188" s="70" t="n"/>
      <c r="F188" s="70" t="n"/>
      <c r="G188" s="70" t="n"/>
      <c r="H188" s="70" t="n"/>
      <c r="I188" s="70" t="n"/>
      <c r="J188" s="70" t="n"/>
      <c r="K188" s="70" t="n"/>
      <c r="L188" s="70" t="n"/>
      <c r="M188" s="70" t="n"/>
      <c r="N188" s="70" t="n"/>
      <c r="O188" s="70" t="n"/>
      <c r="P188" s="70" t="n"/>
      <c r="Q188" s="70" t="n"/>
      <c r="R188" s="70" t="n"/>
      <c r="S188" s="70" t="n"/>
      <c r="T188" s="70" t="n"/>
    </row>
    <row r="189">
      <c r="A189" s="71" t="n"/>
      <c r="C189" s="71" t="n"/>
      <c r="D189" s="71" t="n"/>
      <c r="E189" s="71" t="n"/>
      <c r="F189" s="71" t="n"/>
      <c r="G189" s="71" t="n"/>
      <c r="H189" s="71" t="n"/>
      <c r="I189" s="71" t="n"/>
      <c r="J189" s="71" t="n"/>
      <c r="K189" s="71" t="n"/>
      <c r="L189" s="71" t="n"/>
      <c r="M189" s="71" t="n"/>
      <c r="N189" s="71" t="n"/>
      <c r="O189" s="71" t="n"/>
      <c r="P189" s="71" t="n"/>
      <c r="Q189" s="71" t="n"/>
      <c r="R189" s="71" t="n"/>
      <c r="S189" s="71" t="n"/>
      <c r="T189" s="71" t="n"/>
    </row>
    <row r="190">
      <c r="A190" s="49" t="n">
        <v>63</v>
      </c>
      <c r="C190" s="50" t="n"/>
      <c r="D190" s="40" t="n"/>
      <c r="E190" s="40" t="n"/>
      <c r="F190" s="40" t="n"/>
      <c r="G190" s="52" t="n"/>
      <c r="H190" s="48" t="n"/>
      <c r="I190" s="40" t="n"/>
      <c r="J190" s="40" t="n"/>
      <c r="K190" s="48" t="n"/>
      <c r="L190" s="40" t="n"/>
      <c r="M190" s="47" t="n"/>
      <c r="N190" s="40" t="n"/>
      <c r="O190" s="47" t="n"/>
      <c r="P190" s="49" t="n"/>
      <c r="Q190" s="49" t="n"/>
      <c r="R190" s="49" t="n"/>
      <c r="S190" s="49" t="n"/>
      <c r="T190" s="49" t="n"/>
    </row>
    <row r="191">
      <c r="A191" s="70" t="n"/>
      <c r="C191" s="70" t="n"/>
      <c r="D191" s="70" t="n"/>
      <c r="E191" s="70" t="n"/>
      <c r="F191" s="70" t="n"/>
      <c r="G191" s="70" t="n"/>
      <c r="H191" s="70" t="n"/>
      <c r="I191" s="70" t="n"/>
      <c r="J191" s="70" t="n"/>
      <c r="K191" s="70" t="n"/>
      <c r="L191" s="70" t="n"/>
      <c r="M191" s="70" t="n"/>
      <c r="N191" s="70" t="n"/>
      <c r="O191" s="70" t="n"/>
      <c r="P191" s="70" t="n"/>
      <c r="Q191" s="70" t="n"/>
      <c r="R191" s="70" t="n"/>
      <c r="S191" s="70" t="n"/>
      <c r="T191" s="70" t="n"/>
    </row>
    <row r="192">
      <c r="A192" s="71" t="n"/>
      <c r="C192" s="71" t="n"/>
      <c r="D192" s="71" t="n"/>
      <c r="E192" s="71" t="n"/>
      <c r="F192" s="71" t="n"/>
      <c r="G192" s="71" t="n"/>
      <c r="H192" s="71" t="n"/>
      <c r="I192" s="71" t="n"/>
      <c r="J192" s="71" t="n"/>
      <c r="K192" s="71" t="n"/>
      <c r="L192" s="71" t="n"/>
      <c r="M192" s="71" t="n"/>
      <c r="N192" s="71" t="n"/>
      <c r="O192" s="71" t="n"/>
      <c r="P192" s="71" t="n"/>
      <c r="Q192" s="71" t="n"/>
      <c r="R192" s="71" t="n"/>
      <c r="S192" s="71" t="n"/>
      <c r="T192" s="71" t="n"/>
    </row>
    <row r="193">
      <c r="A193" s="49" t="n">
        <v>64</v>
      </c>
      <c r="C193" s="50" t="n"/>
      <c r="D193" s="40" t="n"/>
      <c r="E193" s="40" t="n"/>
      <c r="F193" s="40" t="n"/>
      <c r="G193" s="52" t="n"/>
      <c r="H193" s="48" t="n"/>
      <c r="I193" s="40" t="n"/>
      <c r="J193" s="40" t="n"/>
      <c r="K193" s="48" t="n"/>
      <c r="L193" s="40" t="n"/>
      <c r="M193" s="47" t="n"/>
      <c r="N193" s="40" t="n"/>
      <c r="O193" s="47" t="n"/>
      <c r="P193" s="49" t="n"/>
      <c r="Q193" s="49" t="n"/>
      <c r="R193" s="49" t="n"/>
      <c r="S193" s="49" t="n"/>
      <c r="T193" s="49" t="n"/>
    </row>
    <row r="194">
      <c r="A194" s="70" t="n"/>
      <c r="C194" s="70" t="n"/>
      <c r="D194" s="70" t="n"/>
      <c r="E194" s="70" t="n"/>
      <c r="F194" s="70" t="n"/>
      <c r="G194" s="70" t="n"/>
      <c r="H194" s="70" t="n"/>
      <c r="I194" s="70" t="n"/>
      <c r="J194" s="70" t="n"/>
      <c r="K194" s="70" t="n"/>
      <c r="L194" s="70" t="n"/>
      <c r="M194" s="70" t="n"/>
      <c r="N194" s="70" t="n"/>
      <c r="O194" s="70" t="n"/>
      <c r="P194" s="70" t="n"/>
      <c r="Q194" s="70" t="n"/>
      <c r="R194" s="70" t="n"/>
      <c r="S194" s="70" t="n"/>
      <c r="T194" s="70" t="n"/>
    </row>
    <row r="195">
      <c r="A195" s="71" t="n"/>
      <c r="C195" s="71" t="n"/>
      <c r="D195" s="71" t="n"/>
      <c r="E195" s="71" t="n"/>
      <c r="F195" s="71" t="n"/>
      <c r="G195" s="71" t="n"/>
      <c r="H195" s="71" t="n"/>
      <c r="I195" s="71" t="n"/>
      <c r="J195" s="71" t="n"/>
      <c r="K195" s="71" t="n"/>
      <c r="L195" s="71" t="n"/>
      <c r="M195" s="71" t="n"/>
      <c r="N195" s="71" t="n"/>
      <c r="O195" s="71" t="n"/>
      <c r="P195" s="71" t="n"/>
      <c r="Q195" s="71" t="n"/>
      <c r="R195" s="71" t="n"/>
      <c r="S195" s="71" t="n"/>
      <c r="T195" s="71" t="n"/>
    </row>
    <row r="196">
      <c r="A196" s="49" t="n">
        <v>65</v>
      </c>
      <c r="C196" s="50" t="n"/>
      <c r="D196" s="40" t="n"/>
      <c r="E196" s="40" t="n"/>
      <c r="F196" s="40" t="n"/>
      <c r="G196" s="52" t="n"/>
      <c r="H196" s="48" t="n"/>
      <c r="I196" s="40" t="n"/>
      <c r="J196" s="40" t="n"/>
      <c r="K196" s="48" t="n"/>
      <c r="L196" s="40" t="n"/>
      <c r="M196" s="47" t="n"/>
      <c r="N196" s="40" t="n"/>
      <c r="O196" s="47" t="n"/>
      <c r="P196" s="49" t="n"/>
      <c r="Q196" s="49" t="n"/>
      <c r="R196" s="49" t="n"/>
      <c r="S196" s="49" t="n"/>
      <c r="T196" s="49" t="n"/>
    </row>
    <row r="197">
      <c r="A197" s="70" t="n"/>
      <c r="C197" s="70" t="n"/>
      <c r="D197" s="70" t="n"/>
      <c r="E197" s="70" t="n"/>
      <c r="F197" s="70" t="n"/>
      <c r="G197" s="70" t="n"/>
      <c r="H197" s="70" t="n"/>
      <c r="I197" s="70" t="n"/>
      <c r="J197" s="70" t="n"/>
      <c r="K197" s="70" t="n"/>
      <c r="L197" s="70" t="n"/>
      <c r="M197" s="70" t="n"/>
      <c r="N197" s="70" t="n"/>
      <c r="O197" s="70" t="n"/>
      <c r="P197" s="70" t="n"/>
      <c r="Q197" s="70" t="n"/>
      <c r="R197" s="70" t="n"/>
      <c r="S197" s="70" t="n"/>
      <c r="T197" s="70" t="n"/>
    </row>
    <row r="198">
      <c r="A198" s="71" t="n"/>
      <c r="C198" s="71" t="n"/>
      <c r="D198" s="71" t="n"/>
      <c r="E198" s="71" t="n"/>
      <c r="F198" s="71" t="n"/>
      <c r="G198" s="71" t="n"/>
      <c r="H198" s="71" t="n"/>
      <c r="I198" s="71" t="n"/>
      <c r="J198" s="71" t="n"/>
      <c r="K198" s="71" t="n"/>
      <c r="L198" s="71" t="n"/>
      <c r="M198" s="71" t="n"/>
      <c r="N198" s="71" t="n"/>
      <c r="O198" s="71" t="n"/>
      <c r="P198" s="71" t="n"/>
      <c r="Q198" s="71" t="n"/>
      <c r="R198" s="71" t="n"/>
      <c r="S198" s="71" t="n"/>
      <c r="T198" s="71" t="n"/>
    </row>
    <row r="199">
      <c r="A199" s="49" t="n">
        <v>66</v>
      </c>
      <c r="C199" s="50" t="n"/>
      <c r="D199" s="40" t="n"/>
      <c r="E199" s="40" t="n"/>
      <c r="F199" s="40" t="n"/>
      <c r="G199" s="52" t="n"/>
      <c r="H199" s="48" t="n"/>
      <c r="I199" s="40" t="n"/>
      <c r="J199" s="40" t="n"/>
      <c r="K199" s="48" t="n"/>
      <c r="L199" s="40" t="n"/>
      <c r="M199" s="47" t="n"/>
      <c r="N199" s="40" t="n"/>
      <c r="O199" s="47" t="n"/>
      <c r="P199" s="49" t="n"/>
      <c r="Q199" s="49" t="n"/>
      <c r="R199" s="49" t="n"/>
      <c r="S199" s="49" t="n"/>
      <c r="T199" s="49" t="n"/>
    </row>
    <row r="200">
      <c r="A200" s="70" t="n"/>
      <c r="C200" s="70" t="n"/>
      <c r="D200" s="70" t="n"/>
      <c r="E200" s="70" t="n"/>
      <c r="F200" s="70" t="n"/>
      <c r="G200" s="70" t="n"/>
      <c r="H200" s="70" t="n"/>
      <c r="I200" s="70" t="n"/>
      <c r="J200" s="70" t="n"/>
      <c r="K200" s="70" t="n"/>
      <c r="L200" s="70" t="n"/>
      <c r="M200" s="70" t="n"/>
      <c r="N200" s="70" t="n"/>
      <c r="O200" s="70" t="n"/>
      <c r="P200" s="70" t="n"/>
      <c r="Q200" s="70" t="n"/>
      <c r="R200" s="70" t="n"/>
      <c r="S200" s="70" t="n"/>
      <c r="T200" s="70" t="n"/>
    </row>
    <row r="201">
      <c r="A201" s="71" t="n"/>
      <c r="C201" s="71" t="n"/>
      <c r="D201" s="71" t="n"/>
      <c r="E201" s="71" t="n"/>
      <c r="F201" s="71" t="n"/>
      <c r="G201" s="71" t="n"/>
      <c r="H201" s="71" t="n"/>
      <c r="I201" s="71" t="n"/>
      <c r="J201" s="71" t="n"/>
      <c r="K201" s="71" t="n"/>
      <c r="L201" s="71" t="n"/>
      <c r="M201" s="71" t="n"/>
      <c r="N201" s="71" t="n"/>
      <c r="O201" s="71" t="n"/>
      <c r="P201" s="71" t="n"/>
      <c r="Q201" s="71" t="n"/>
      <c r="R201" s="71" t="n"/>
      <c r="S201" s="71" t="n"/>
      <c r="T201" s="71" t="n"/>
    </row>
    <row r="202">
      <c r="A202" s="49" t="n">
        <v>67</v>
      </c>
      <c r="C202" s="50" t="n"/>
      <c r="D202" s="40" t="n"/>
      <c r="E202" s="40" t="n"/>
      <c r="F202" s="40" t="n"/>
      <c r="G202" s="52" t="n"/>
      <c r="H202" s="48" t="n"/>
      <c r="I202" s="40" t="n"/>
      <c r="J202" s="40" t="n"/>
      <c r="K202" s="48" t="n"/>
      <c r="L202" s="40" t="n"/>
      <c r="M202" s="47" t="n"/>
      <c r="N202" s="40" t="n"/>
      <c r="O202" s="47" t="n"/>
      <c r="P202" s="49" t="n"/>
      <c r="Q202" s="49" t="n"/>
      <c r="R202" s="49" t="n"/>
      <c r="S202" s="49" t="n"/>
      <c r="T202" s="49" t="n"/>
    </row>
    <row r="203">
      <c r="A203" s="70" t="n"/>
      <c r="C203" s="70" t="n"/>
      <c r="D203" s="70" t="n"/>
      <c r="E203" s="70" t="n"/>
      <c r="F203" s="70" t="n"/>
      <c r="G203" s="70" t="n"/>
      <c r="H203" s="70" t="n"/>
      <c r="I203" s="70" t="n"/>
      <c r="J203" s="70" t="n"/>
      <c r="K203" s="70" t="n"/>
      <c r="L203" s="70" t="n"/>
      <c r="M203" s="70" t="n"/>
      <c r="N203" s="70" t="n"/>
      <c r="O203" s="70" t="n"/>
      <c r="P203" s="70" t="n"/>
      <c r="Q203" s="70" t="n"/>
      <c r="R203" s="70" t="n"/>
      <c r="S203" s="70" t="n"/>
      <c r="T203" s="70" t="n"/>
    </row>
    <row r="204">
      <c r="A204" s="71" t="n"/>
      <c r="C204" s="71" t="n"/>
      <c r="D204" s="71" t="n"/>
      <c r="E204" s="71" t="n"/>
      <c r="F204" s="71" t="n"/>
      <c r="G204" s="71" t="n"/>
      <c r="H204" s="71" t="n"/>
      <c r="I204" s="71" t="n"/>
      <c r="J204" s="71" t="n"/>
      <c r="K204" s="71" t="n"/>
      <c r="L204" s="71" t="n"/>
      <c r="M204" s="71" t="n"/>
      <c r="N204" s="71" t="n"/>
      <c r="O204" s="71" t="n"/>
      <c r="P204" s="71" t="n"/>
      <c r="Q204" s="71" t="n"/>
      <c r="R204" s="71" t="n"/>
      <c r="S204" s="71" t="n"/>
      <c r="T204" s="71" t="n"/>
    </row>
  </sheetData>
  <mergeCells count="1273">
    <mergeCell ref="H190:H192"/>
    <mergeCell ref="K70:K72"/>
    <mergeCell ref="S127:S129"/>
    <mergeCell ref="R91:R93"/>
    <mergeCell ref="L196:L198"/>
    <mergeCell ref="D25:D27"/>
    <mergeCell ref="J133:J135"/>
    <mergeCell ref="G88:G90"/>
    <mergeCell ref="T151:T153"/>
    <mergeCell ref="A70:A72"/>
    <mergeCell ref="I154:I156"/>
    <mergeCell ref="P46:P48"/>
    <mergeCell ref="I181:I183"/>
    <mergeCell ref="P40:P42"/>
    <mergeCell ref="M187:M189"/>
    <mergeCell ref="O103:O105"/>
    <mergeCell ref="R106:R108"/>
    <mergeCell ref="S196:S198"/>
    <mergeCell ref="P43:P45"/>
    <mergeCell ref="N10:N12"/>
    <mergeCell ref="Q169:Q171"/>
    <mergeCell ref="N124:N126"/>
    <mergeCell ref="G22:G24"/>
    <mergeCell ref="R130:R132"/>
    <mergeCell ref="O121:O123"/>
    <mergeCell ref="K142:K144"/>
    <mergeCell ref="P76:P78"/>
    <mergeCell ref="M58:M60"/>
    <mergeCell ref="H133:H135"/>
    <mergeCell ref="J199:J201"/>
    <mergeCell ref="T196:T198"/>
    <mergeCell ref="G190:G192"/>
    <mergeCell ref="O88:O90"/>
    <mergeCell ref="O124:O126"/>
    <mergeCell ref="O118:O120"/>
    <mergeCell ref="A163:A165"/>
    <mergeCell ref="F97:F99"/>
    <mergeCell ref="S157:S159"/>
    <mergeCell ref="G193:G195"/>
    <mergeCell ref="S151:S153"/>
    <mergeCell ref="P112:P114"/>
    <mergeCell ref="K13:K15"/>
    <mergeCell ref="H154:H156"/>
    <mergeCell ref="E109:E111"/>
    <mergeCell ref="O19:O21"/>
    <mergeCell ref="H181:H183"/>
    <mergeCell ref="R178:R180"/>
    <mergeCell ref="L187:L189"/>
    <mergeCell ref="G61:G63"/>
    <mergeCell ref="G175:G177"/>
    <mergeCell ref="D52:D54"/>
    <mergeCell ref="E142:E144"/>
    <mergeCell ref="N67:N69"/>
    <mergeCell ref="H49:H51"/>
    <mergeCell ref="H85:H87"/>
    <mergeCell ref="F109:F111"/>
    <mergeCell ref="F22:F24"/>
    <mergeCell ref="G148:G150"/>
    <mergeCell ref="J115:J117"/>
    <mergeCell ref="J142:J144"/>
    <mergeCell ref="R199:R201"/>
    <mergeCell ref="O76:O78"/>
    <mergeCell ref="L31:L33"/>
    <mergeCell ref="O190:O192"/>
    <mergeCell ref="E43:E45"/>
    <mergeCell ref="I172:I174"/>
    <mergeCell ref="F4:F6"/>
    <mergeCell ref="I163:I165"/>
    <mergeCell ref="F40:F42"/>
    <mergeCell ref="N97:N99"/>
    <mergeCell ref="G130:G132"/>
    <mergeCell ref="E67:E69"/>
    <mergeCell ref="A118:A120"/>
    <mergeCell ref="M31:M33"/>
    <mergeCell ref="G127:G129"/>
    <mergeCell ref="N148:N150"/>
    <mergeCell ref="D118:D120"/>
    <mergeCell ref="T187:T189"/>
    <mergeCell ref="N19:N21"/>
    <mergeCell ref="Q178:Q180"/>
    <mergeCell ref="C181:C183"/>
    <mergeCell ref="F61:F63"/>
    <mergeCell ref="T34:T36"/>
    <mergeCell ref="F175:F177"/>
    <mergeCell ref="P85:P87"/>
    <mergeCell ref="M67:M69"/>
    <mergeCell ref="O148:O150"/>
    <mergeCell ref="E82:E84"/>
    <mergeCell ref="L103:L105"/>
    <mergeCell ref="T58:T60"/>
    <mergeCell ref="A136:A138"/>
    <mergeCell ref="I115:I117"/>
    <mergeCell ref="D16:D18"/>
    <mergeCell ref="N190:N192"/>
    <mergeCell ref="D43:D45"/>
    <mergeCell ref="E169:E171"/>
    <mergeCell ref="Q46:Q48"/>
    <mergeCell ref="M97:M99"/>
    <mergeCell ref="J58:J60"/>
    <mergeCell ref="H172:H174"/>
    <mergeCell ref="J52:J54"/>
    <mergeCell ref="A4:A6"/>
    <mergeCell ref="T49:T51"/>
    <mergeCell ref="A31:A33"/>
    <mergeCell ref="D190:D192"/>
    <mergeCell ref="S106:S108"/>
    <mergeCell ref="G70:G72"/>
    <mergeCell ref="H196:H198"/>
    <mergeCell ref="D61:D63"/>
    <mergeCell ref="F133:F135"/>
    <mergeCell ref="F127:F129"/>
    <mergeCell ref="C88:C90"/>
    <mergeCell ref="C124:C126"/>
    <mergeCell ref="A55:A57"/>
    <mergeCell ref="P151:P153"/>
    <mergeCell ref="K52:K54"/>
    <mergeCell ref="E154:E156"/>
    <mergeCell ref="S34:S36"/>
    <mergeCell ref="I4:I6"/>
    <mergeCell ref="O85:O87"/>
    <mergeCell ref="L46:L48"/>
    <mergeCell ref="L40:L42"/>
    <mergeCell ref="I187:I189"/>
    <mergeCell ref="D82:D84"/>
    <mergeCell ref="K103:K105"/>
    <mergeCell ref="A79:A81"/>
    <mergeCell ref="Q115:Q117"/>
    <mergeCell ref="S31:S33"/>
    <mergeCell ref="N106:N108"/>
    <mergeCell ref="T157:T159"/>
    <mergeCell ref="J127:J129"/>
    <mergeCell ref="J10:J12"/>
    <mergeCell ref="M169:M171"/>
    <mergeCell ref="M40:M42"/>
    <mergeCell ref="N130:N132"/>
    <mergeCell ref="Q202:Q204"/>
    <mergeCell ref="I58:I60"/>
    <mergeCell ref="S49:S51"/>
    <mergeCell ref="F199:F201"/>
    <mergeCell ref="C76:C78"/>
    <mergeCell ref="P196:P198"/>
    <mergeCell ref="C190:C192"/>
    <mergeCell ref="M91:M93"/>
    <mergeCell ref="O157:O159"/>
    <mergeCell ref="O151:O153"/>
    <mergeCell ref="G13:G15"/>
    <mergeCell ref="T40:T42"/>
    <mergeCell ref="D154:D156"/>
    <mergeCell ref="K46:K48"/>
    <mergeCell ref="S103:S105"/>
    <mergeCell ref="H187:H189"/>
    <mergeCell ref="C61:C63"/>
    <mergeCell ref="T100:T102"/>
    <mergeCell ref="M106:M108"/>
    <mergeCell ref="I10:I12"/>
    <mergeCell ref="L169:L171"/>
    <mergeCell ref="S121:S123"/>
    <mergeCell ref="T97:T99"/>
    <mergeCell ref="Q58:Q60"/>
    <mergeCell ref="F142:F144"/>
    <mergeCell ref="K76:K78"/>
    <mergeCell ref="H31:H33"/>
    <mergeCell ref="H58:H60"/>
    <mergeCell ref="R49:R51"/>
    <mergeCell ref="O196:O198"/>
    <mergeCell ref="I28:I30"/>
    <mergeCell ref="Q85:Q87"/>
    <mergeCell ref="M133:M135"/>
    <mergeCell ref="E163:E165"/>
    <mergeCell ref="C130:C132"/>
    <mergeCell ref="J124:J126"/>
    <mergeCell ref="J118:J120"/>
    <mergeCell ref="T115:T117"/>
    <mergeCell ref="A184:A186"/>
    <mergeCell ref="A97:A99"/>
    <mergeCell ref="I31:I33"/>
    <mergeCell ref="S46:S48"/>
    <mergeCell ref="C154:C156"/>
    <mergeCell ref="T166:T168"/>
    <mergeCell ref="P187:P189"/>
    <mergeCell ref="R103:R105"/>
    <mergeCell ref="M178:M180"/>
    <mergeCell ref="S73:S75"/>
    <mergeCell ref="Q10:Q12"/>
    <mergeCell ref="L85:L87"/>
    <mergeCell ref="T169:T171"/>
    <mergeCell ref="I67:I69"/>
    <mergeCell ref="H70:H72"/>
    <mergeCell ref="K148:K150"/>
    <mergeCell ref="A109:A111"/>
    <mergeCell ref="R121:R123"/>
    <mergeCell ref="A22:A24"/>
    <mergeCell ref="P58:P60"/>
    <mergeCell ref="E115:E117"/>
    <mergeCell ref="J76:J78"/>
    <mergeCell ref="Q28:Q30"/>
    <mergeCell ref="T91:T93"/>
    <mergeCell ref="A169:A171"/>
    <mergeCell ref="D163:D165"/>
    <mergeCell ref="I97:I99"/>
    <mergeCell ref="S112:S114"/>
    <mergeCell ref="G49:G51"/>
    <mergeCell ref="C70:C72"/>
    <mergeCell ref="D196:D198"/>
    <mergeCell ref="R46:R48"/>
    <mergeCell ref="Q76:Q78"/>
    <mergeCell ref="S16:S18"/>
    <mergeCell ref="L178:L180"/>
    <mergeCell ref="G52:G54"/>
    <mergeCell ref="T106:T108"/>
    <mergeCell ref="O34:O36"/>
    <mergeCell ref="E4:E6"/>
    <mergeCell ref="P10:P12"/>
    <mergeCell ref="K85:K87"/>
    <mergeCell ref="S169:S171"/>
    <mergeCell ref="I22:I24"/>
    <mergeCell ref="C127:C129"/>
    <mergeCell ref="J148:J150"/>
    <mergeCell ref="G103:G105"/>
    <mergeCell ref="T139:T141"/>
    <mergeCell ref="Q94:Q96"/>
    <mergeCell ref="R76:R78"/>
    <mergeCell ref="O31:O33"/>
    <mergeCell ref="H100:H102"/>
    <mergeCell ref="P157:P159"/>
    <mergeCell ref="I169:I171"/>
    <mergeCell ref="P28:P30"/>
    <mergeCell ref="S187:S189"/>
    <mergeCell ref="S64:S66"/>
    <mergeCell ref="I40:I42"/>
    <mergeCell ref="J130:J132"/>
    <mergeCell ref="Q124:Q126"/>
    <mergeCell ref="J160:J162"/>
    <mergeCell ref="H67:H69"/>
    <mergeCell ref="H103:H105"/>
    <mergeCell ref="H97:H99"/>
    <mergeCell ref="E58:E60"/>
    <mergeCell ref="R94:R96"/>
    <mergeCell ref="S184:S186"/>
    <mergeCell ref="O49:O51"/>
    <mergeCell ref="N112:N114"/>
    <mergeCell ref="T193:T195"/>
    <mergeCell ref="C196:C198"/>
    <mergeCell ref="T64:T66"/>
    <mergeCell ref="Q19:Q21"/>
    <mergeCell ref="A133:A135"/>
    <mergeCell ref="C22:C24"/>
    <mergeCell ref="T178:T180"/>
    <mergeCell ref="R145:R147"/>
    <mergeCell ref="F181:F183"/>
    <mergeCell ref="H115:H117"/>
    <mergeCell ref="P172:P174"/>
    <mergeCell ref="F52:F54"/>
    <mergeCell ref="G142:G144"/>
    <mergeCell ref="H82:H84"/>
    <mergeCell ref="T82:T84"/>
    <mergeCell ref="P100:P102"/>
    <mergeCell ref="L151:L153"/>
    <mergeCell ref="I106:I108"/>
    <mergeCell ref="E10:E12"/>
    <mergeCell ref="H169:H171"/>
    <mergeCell ref="R160:R162"/>
    <mergeCell ref="P97:P99"/>
    <mergeCell ref="I130:I132"/>
    <mergeCell ref="N178:N180"/>
    <mergeCell ref="G76:G78"/>
    <mergeCell ref="D58:D60"/>
    <mergeCell ref="N49:N51"/>
    <mergeCell ref="Q91:Q93"/>
    <mergeCell ref="K196:K198"/>
    <mergeCell ref="M112:M114"/>
    <mergeCell ref="I133:I135"/>
    <mergeCell ref="S193:S195"/>
    <mergeCell ref="F124:F126"/>
    <mergeCell ref="P115:P117"/>
    <mergeCell ref="L19:L21"/>
    <mergeCell ref="O172:O174"/>
    <mergeCell ref="J157:J159"/>
    <mergeCell ref="R85:R87"/>
    <mergeCell ref="O46:O48"/>
    <mergeCell ref="S175:S177"/>
    <mergeCell ref="O40:O42"/>
    <mergeCell ref="M13:M15"/>
    <mergeCell ref="P166:P168"/>
    <mergeCell ref="Q148:Q150"/>
    <mergeCell ref="F46:F48"/>
    <mergeCell ref="N103:N105"/>
    <mergeCell ref="E199:E201"/>
    <mergeCell ref="O73:O75"/>
    <mergeCell ref="O100:O102"/>
    <mergeCell ref="H112:H114"/>
    <mergeCell ref="P169:P171"/>
    <mergeCell ref="H106:H108"/>
    <mergeCell ref="Q130:Q132"/>
    <mergeCell ref="G169:G171"/>
    <mergeCell ref="Q166:Q168"/>
    <mergeCell ref="Q160:Q162"/>
    <mergeCell ref="N121:N123"/>
    <mergeCell ref="T202:T204"/>
    <mergeCell ref="L58:L60"/>
    <mergeCell ref="O97:O99"/>
    <mergeCell ref="J172:J174"/>
    <mergeCell ref="F76:F78"/>
    <mergeCell ref="M28:M30"/>
    <mergeCell ref="S136:S138"/>
    <mergeCell ref="P91:P93"/>
    <mergeCell ref="J196:J198"/>
    <mergeCell ref="E97:E99"/>
    <mergeCell ref="E124:E126"/>
    <mergeCell ref="O115:O117"/>
    <mergeCell ref="R157:R159"/>
    <mergeCell ref="R151:R153"/>
    <mergeCell ref="M52:M54"/>
    <mergeCell ref="C49:C51"/>
    <mergeCell ref="D31:D33"/>
    <mergeCell ref="N46:N48"/>
    <mergeCell ref="J40:J42"/>
    <mergeCell ref="G187:G189"/>
    <mergeCell ref="C52:C54"/>
    <mergeCell ref="P106:P108"/>
    <mergeCell ref="N73:N75"/>
    <mergeCell ref="L10:L12"/>
    <mergeCell ref="O169:O171"/>
    <mergeCell ref="E22:E24"/>
    <mergeCell ref="C106:C108"/>
    <mergeCell ref="F148:F150"/>
    <mergeCell ref="P139:P141"/>
    <mergeCell ref="M121:M123"/>
    <mergeCell ref="F19:F21"/>
    <mergeCell ref="S202:S204"/>
    <mergeCell ref="N76:N78"/>
    <mergeCell ref="D100:D102"/>
    <mergeCell ref="R196:R198"/>
    <mergeCell ref="L28:L30"/>
    <mergeCell ref="O187:O189"/>
    <mergeCell ref="M10:M12"/>
    <mergeCell ref="M124:M126"/>
    <mergeCell ref="K91:K93"/>
    <mergeCell ref="A25:A27"/>
    <mergeCell ref="F160:F162"/>
    <mergeCell ref="D103:D105"/>
    <mergeCell ref="D97:D99"/>
    <mergeCell ref="Q157:Q159"/>
    <mergeCell ref="M151:M153"/>
    <mergeCell ref="T130:T132"/>
    <mergeCell ref="T13:T15"/>
    <mergeCell ref="T43:T45"/>
    <mergeCell ref="P64:P66"/>
    <mergeCell ref="M19:M21"/>
    <mergeCell ref="P178:P180"/>
    <mergeCell ref="M55:M57"/>
    <mergeCell ref="N145:N147"/>
    <mergeCell ref="D115:D117"/>
    <mergeCell ref="T184:T186"/>
    <mergeCell ref="T10:T12"/>
    <mergeCell ref="O112:O114"/>
    <mergeCell ref="F91:F93"/>
    <mergeCell ref="N169:N171"/>
    <mergeCell ref="E148:E150"/>
    <mergeCell ref="Q172:Q174"/>
    <mergeCell ref="O139:O141"/>
    <mergeCell ref="L100:L102"/>
    <mergeCell ref="M76:M78"/>
    <mergeCell ref="H151:H153"/>
    <mergeCell ref="J31:J33"/>
    <mergeCell ref="T28:T30"/>
    <mergeCell ref="N202:N204"/>
    <mergeCell ref="A10:A12"/>
    <mergeCell ref="Q196:Q198"/>
    <mergeCell ref="D169:D171"/>
    <mergeCell ref="K34:K36"/>
    <mergeCell ref="N160:N162"/>
    <mergeCell ref="D40:D42"/>
    <mergeCell ref="L97:L99"/>
    <mergeCell ref="E130:E132"/>
    <mergeCell ref="J64:J66"/>
    <mergeCell ref="C103:C105"/>
    <mergeCell ref="M94:M96"/>
    <mergeCell ref="N184:N186"/>
    <mergeCell ref="J49:J51"/>
    <mergeCell ref="K31:K33"/>
    <mergeCell ref="G196:G198"/>
    <mergeCell ref="I112:I114"/>
    <mergeCell ref="E133:E135"/>
    <mergeCell ref="O193:O195"/>
    <mergeCell ref="S13:S15"/>
    <mergeCell ref="L115:L117"/>
    <mergeCell ref="O64:O66"/>
    <mergeCell ref="O178:O180"/>
    <mergeCell ref="H19:H21"/>
    <mergeCell ref="A181:A183"/>
    <mergeCell ref="K172:K174"/>
    <mergeCell ref="I202:I204"/>
    <mergeCell ref="A58:A60"/>
    <mergeCell ref="A52:A54"/>
    <mergeCell ref="K49:K51"/>
    <mergeCell ref="R64:R66"/>
    <mergeCell ref="N85:N87"/>
    <mergeCell ref="G67:G69"/>
    <mergeCell ref="M148:M150"/>
    <mergeCell ref="C118:C120"/>
    <mergeCell ref="T121:T123"/>
    <mergeCell ref="K100:K102"/>
    <mergeCell ref="C115:C117"/>
    <mergeCell ref="S28:S30"/>
    <mergeCell ref="J7:J9"/>
    <mergeCell ref="C169:C171"/>
    <mergeCell ref="M166:M168"/>
    <mergeCell ref="M160:M162"/>
    <mergeCell ref="J121:J123"/>
    <mergeCell ref="K97:K99"/>
    <mergeCell ref="Q112:Q114"/>
    <mergeCell ref="Q106:Q108"/>
    <mergeCell ref="O136:O138"/>
    <mergeCell ref="F196:F198"/>
    <mergeCell ref="C187:C189"/>
    <mergeCell ref="N193:N195"/>
    <mergeCell ref="T55:T57"/>
    <mergeCell ref="A124:A126"/>
    <mergeCell ref="K115:K117"/>
    <mergeCell ref="I52:I54"/>
    <mergeCell ref="G19:G21"/>
    <mergeCell ref="J178:J180"/>
    <mergeCell ref="T79:T81"/>
    <mergeCell ref="Q34:Q36"/>
    <mergeCell ref="M85:M87"/>
    <mergeCell ref="D193:D195"/>
    <mergeCell ref="J46:J48"/>
    <mergeCell ref="H13:H15"/>
    <mergeCell ref="T37:T39"/>
    <mergeCell ref="F67:F69"/>
    <mergeCell ref="L148:L150"/>
    <mergeCell ref="S100:S102"/>
    <mergeCell ref="S94:S96"/>
    <mergeCell ref="L106:L108"/>
    <mergeCell ref="J73:J75"/>
    <mergeCell ref="H10:H12"/>
    <mergeCell ref="R7:R9"/>
    <mergeCell ref="C112:C114"/>
    <mergeCell ref="R34:R36"/>
    <mergeCell ref="K169:K171"/>
    <mergeCell ref="R28:R30"/>
    <mergeCell ref="I136:I138"/>
    <mergeCell ref="K40:K42"/>
    <mergeCell ref="S97:S99"/>
    <mergeCell ref="L130:L132"/>
    <mergeCell ref="I7:I9"/>
    <mergeCell ref="Q64:Q66"/>
    <mergeCell ref="L166:L168"/>
    <mergeCell ref="I121:I123"/>
    <mergeCell ref="J103:J105"/>
    <mergeCell ref="G58:G60"/>
    <mergeCell ref="E172:E174"/>
    <mergeCell ref="T94:T96"/>
    <mergeCell ref="Q49:Q51"/>
    <mergeCell ref="R175:R177"/>
    <mergeCell ref="A76:A78"/>
    <mergeCell ref="N196:N198"/>
    <mergeCell ref="K73:K75"/>
    <mergeCell ref="H28:H30"/>
    <mergeCell ref="K187:K189"/>
    <mergeCell ref="A67:A69"/>
    <mergeCell ref="I124:I126"/>
    <mergeCell ref="E196:E198"/>
    <mergeCell ref="G91:G93"/>
    <mergeCell ref="M130:M132"/>
    <mergeCell ref="T145:T147"/>
    <mergeCell ref="M157:M159"/>
    <mergeCell ref="A94:A96"/>
    <mergeCell ref="I151:I153"/>
    <mergeCell ref="P130:P132"/>
    <mergeCell ref="S166:S168"/>
    <mergeCell ref="L64:L66"/>
    <mergeCell ref="T148:T150"/>
    <mergeCell ref="S37:S39"/>
    <mergeCell ref="E46:E48"/>
    <mergeCell ref="E40:E42"/>
    <mergeCell ref="T163:T165"/>
    <mergeCell ref="P184:P186"/>
    <mergeCell ref="R100:R102"/>
    <mergeCell ref="I79:I81"/>
    <mergeCell ref="G106:G108"/>
    <mergeCell ref="Q7:Q9"/>
    <mergeCell ref="J169:J171"/>
    <mergeCell ref="T160:T162"/>
    <mergeCell ref="A148:A150"/>
    <mergeCell ref="K139:K141"/>
    <mergeCell ref="I76:I78"/>
    <mergeCell ref="J202:J204"/>
    <mergeCell ref="P49:P51"/>
    <mergeCell ref="M196:M198"/>
    <mergeCell ref="G34:G36"/>
    <mergeCell ref="G28:G30"/>
    <mergeCell ref="J187:J189"/>
    <mergeCell ref="E61:E63"/>
    <mergeCell ref="T88:T90"/>
    <mergeCell ref="H124:H126"/>
    <mergeCell ref="P82:P84"/>
    <mergeCell ref="I94:I96"/>
    <mergeCell ref="F49:F51"/>
    <mergeCell ref="K10:K12"/>
    <mergeCell ref="G31:G33"/>
    <mergeCell ref="E112:E114"/>
    <mergeCell ref="D172:D174"/>
    <mergeCell ref="K193:K195"/>
    <mergeCell ref="O130:O132"/>
    <mergeCell ref="O13:O15"/>
    <mergeCell ref="K64:K66"/>
    <mergeCell ref="D46:D48"/>
    <mergeCell ref="N37:N39"/>
    <mergeCell ref="G172:G174"/>
    <mergeCell ref="O184:O186"/>
    <mergeCell ref="Q79:Q81"/>
    <mergeCell ref="Q73:Q75"/>
    <mergeCell ref="N64:N66"/>
    <mergeCell ref="J85:J87"/>
    <mergeCell ref="P136:P138"/>
    <mergeCell ref="R70:R72"/>
    <mergeCell ref="C67:C69"/>
    <mergeCell ref="F106:F108"/>
    <mergeCell ref="R184:R186"/>
    <mergeCell ref="I148:I150"/>
    <mergeCell ref="P7:P9"/>
    <mergeCell ref="S139:S141"/>
    <mergeCell ref="P121:P123"/>
    <mergeCell ref="I19:I21"/>
    <mergeCell ref="J145:J147"/>
    <mergeCell ref="R202:R204"/>
    <mergeCell ref="J139:J141"/>
    <mergeCell ref="G100:G102"/>
    <mergeCell ref="H76:H78"/>
    <mergeCell ref="R73:R75"/>
    <mergeCell ref="O28:O30"/>
    <mergeCell ref="F7:F9"/>
    <mergeCell ref="F34:F36"/>
    <mergeCell ref="N91:N93"/>
    <mergeCell ref="P25:P27"/>
    <mergeCell ref="I160:I162"/>
    <mergeCell ref="G97:G99"/>
    <mergeCell ref="H94:H96"/>
    <mergeCell ref="K136:K138"/>
    <mergeCell ref="F31:F33"/>
    <mergeCell ref="G121:G123"/>
    <mergeCell ref="J193:J195"/>
    <mergeCell ref="P55:P57"/>
    <mergeCell ref="G115:G117"/>
    <mergeCell ref="Q16:Q18"/>
    <mergeCell ref="E52:E54"/>
    <mergeCell ref="T175:T177"/>
    <mergeCell ref="C19:C21"/>
    <mergeCell ref="F178:F180"/>
    <mergeCell ref="P79:P81"/>
    <mergeCell ref="M34:M36"/>
    <mergeCell ref="I85:I87"/>
    <mergeCell ref="H148:H150"/>
    <mergeCell ref="E103:E105"/>
    <mergeCell ref="R139:R141"/>
    <mergeCell ref="N157:N159"/>
    <mergeCell ref="D133:D135"/>
    <mergeCell ref="N34:N36"/>
    <mergeCell ref="N28:N30"/>
    <mergeCell ref="G40:G42"/>
    <mergeCell ref="E7:E9"/>
    <mergeCell ref="H166:H168"/>
    <mergeCell ref="E121:E123"/>
    <mergeCell ref="F103:F105"/>
    <mergeCell ref="C58:C60"/>
    <mergeCell ref="P94:P96"/>
    <mergeCell ref="N175:N177"/>
    <mergeCell ref="L112:L114"/>
    <mergeCell ref="J136:J138"/>
    <mergeCell ref="R193:R195"/>
    <mergeCell ref="T127:T129"/>
    <mergeCell ref="A196:A198"/>
    <mergeCell ref="M109:M111"/>
    <mergeCell ref="O55:O57"/>
    <mergeCell ref="P145:P147"/>
    <mergeCell ref="D181:D183"/>
    <mergeCell ref="F121:F123"/>
    <mergeCell ref="F115:F117"/>
    <mergeCell ref="P16:P18"/>
    <mergeCell ref="E178:E180"/>
    <mergeCell ref="A199:A201"/>
    <mergeCell ref="O79:O81"/>
    <mergeCell ref="H91:H93"/>
    <mergeCell ref="P148:P150"/>
    <mergeCell ref="R82:R84"/>
    <mergeCell ref="D85:D87"/>
    <mergeCell ref="A40:A42"/>
    <mergeCell ref="P163:P165"/>
    <mergeCell ref="Q145:Q147"/>
    <mergeCell ref="Q139:Q141"/>
    <mergeCell ref="N100:N102"/>
    <mergeCell ref="T181:T183"/>
    <mergeCell ref="J151:J153"/>
    <mergeCell ref="E79:E81"/>
    <mergeCell ref="C133:C135"/>
    <mergeCell ref="M7:M9"/>
    <mergeCell ref="F169:F171"/>
    <mergeCell ref="P160:P162"/>
    <mergeCell ref="G139:G141"/>
    <mergeCell ref="E76:E78"/>
    <mergeCell ref="O94:O96"/>
    <mergeCell ref="L49:L51"/>
    <mergeCell ref="R136:R138"/>
    <mergeCell ref="C34:C36"/>
    <mergeCell ref="I196:I198"/>
    <mergeCell ref="F73:F75"/>
    <mergeCell ref="C28:C30"/>
    <mergeCell ref="K112:K114"/>
    <mergeCell ref="F187:F189"/>
    <mergeCell ref="D10:D12"/>
    <mergeCell ref="D124:D126"/>
    <mergeCell ref="L82:L84"/>
    <mergeCell ref="H130:H132"/>
    <mergeCell ref="J19:J21"/>
    <mergeCell ref="E94:E96"/>
    <mergeCell ref="G10:G12"/>
    <mergeCell ref="C31:C33"/>
    <mergeCell ref="D151:D153"/>
    <mergeCell ref="K130:K132"/>
    <mergeCell ref="D28:D30"/>
    <mergeCell ref="G64:G66"/>
    <mergeCell ref="C91:C93"/>
    <mergeCell ref="K184:K186"/>
    <mergeCell ref="P118:P120"/>
    <mergeCell ref="M100:M102"/>
    <mergeCell ref="N55:N57"/>
    <mergeCell ref="F112:F114"/>
    <mergeCell ref="D79:D81"/>
    <mergeCell ref="E151:E153"/>
    <mergeCell ref="N70:N72"/>
    <mergeCell ref="L7:L9"/>
    <mergeCell ref="O166:O168"/>
    <mergeCell ref="O160:O162"/>
    <mergeCell ref="Q55:Q57"/>
    <mergeCell ref="F145:F147"/>
    <mergeCell ref="F139:F141"/>
    <mergeCell ref="C100:C102"/>
    <mergeCell ref="D76:D78"/>
    <mergeCell ref="E202:E204"/>
    <mergeCell ref="J91:J93"/>
    <mergeCell ref="L25:L27"/>
    <mergeCell ref="E187:E189"/>
    <mergeCell ref="T109:T111"/>
    <mergeCell ref="T22:T24"/>
    <mergeCell ref="D94:D96"/>
    <mergeCell ref="A49:A51"/>
    <mergeCell ref="Q154:Q156"/>
    <mergeCell ref="S43:S45"/>
    <mergeCell ref="C157:C159"/>
    <mergeCell ref="F193:F195"/>
    <mergeCell ref="P190:P192"/>
    <mergeCell ref="H46:H48"/>
    <mergeCell ref="H40:H42"/>
    <mergeCell ref="R37:R39"/>
    <mergeCell ref="I37:I39"/>
    <mergeCell ref="L79:L81"/>
    <mergeCell ref="J106:J108"/>
    <mergeCell ref="T7:T9"/>
    <mergeCell ref="A112:A114"/>
    <mergeCell ref="A106:A108"/>
    <mergeCell ref="D148:D150"/>
    <mergeCell ref="K7:K9"/>
    <mergeCell ref="N139:N141"/>
    <mergeCell ref="D19:D21"/>
    <mergeCell ref="E145:E147"/>
    <mergeCell ref="M202:M204"/>
    <mergeCell ref="C172:C174"/>
    <mergeCell ref="M73:M75"/>
    <mergeCell ref="J34:J36"/>
    <mergeCell ref="J28:J30"/>
    <mergeCell ref="T25:T27"/>
    <mergeCell ref="C40:C42"/>
    <mergeCell ref="A7:A9"/>
    <mergeCell ref="I91:I93"/>
    <mergeCell ref="D166:D168"/>
    <mergeCell ref="S82:S84"/>
    <mergeCell ref="L94:L96"/>
    <mergeCell ref="K157:K159"/>
    <mergeCell ref="K151:K153"/>
    <mergeCell ref="K28:K30"/>
    <mergeCell ref="R43:R45"/>
    <mergeCell ref="I109:I111"/>
    <mergeCell ref="L145:L147"/>
    <mergeCell ref="G46:G48"/>
    <mergeCell ref="E160:E162"/>
    <mergeCell ref="Q37:Q39"/>
    <mergeCell ref="C97:C99"/>
    <mergeCell ref="D187:D189"/>
    <mergeCell ref="M142:M144"/>
    <mergeCell ref="A178:A180"/>
    <mergeCell ref="K79:K81"/>
    <mergeCell ref="D91:D93"/>
    <mergeCell ref="S7:S9"/>
    <mergeCell ref="N82:N84"/>
    <mergeCell ref="C148:C150"/>
    <mergeCell ref="M145:M147"/>
    <mergeCell ref="M139:M141"/>
    <mergeCell ref="J100:J102"/>
    <mergeCell ref="P181:P183"/>
    <mergeCell ref="F151:F153"/>
    <mergeCell ref="L202:L204"/>
    <mergeCell ref="S154:S156"/>
    <mergeCell ref="I193:I195"/>
    <mergeCell ref="I34:I36"/>
    <mergeCell ref="S25:S27"/>
    <mergeCell ref="L160:L162"/>
    <mergeCell ref="C166:C168"/>
    <mergeCell ref="R88:R90"/>
    <mergeCell ref="A103:A105"/>
    <mergeCell ref="K94:K96"/>
    <mergeCell ref="L184:L186"/>
    <mergeCell ref="G112:G114"/>
    <mergeCell ref="Q109:Q111"/>
    <mergeCell ref="O133:O135"/>
    <mergeCell ref="Q22:Q24"/>
    <mergeCell ref="T16:T18"/>
    <mergeCell ref="D130:D132"/>
    <mergeCell ref="A121:A123"/>
    <mergeCell ref="I178:I180"/>
    <mergeCell ref="P37:P39"/>
    <mergeCell ref="G202:G204"/>
    <mergeCell ref="S79:S81"/>
    <mergeCell ref="I49:I51"/>
    <mergeCell ref="G16:G18"/>
    <mergeCell ref="R13:R15"/>
    <mergeCell ref="M82:M84"/>
    <mergeCell ref="L118:L120"/>
    <mergeCell ref="I100:I102"/>
    <mergeCell ref="J55:J57"/>
    <mergeCell ref="Q193:Q195"/>
    <mergeCell ref="T73:T75"/>
    <mergeCell ref="A151:A153"/>
    <mergeCell ref="J70:J72"/>
    <mergeCell ref="R154:R156"/>
    <mergeCell ref="H7:H9"/>
    <mergeCell ref="K166:K168"/>
    <mergeCell ref="K160:K162"/>
    <mergeCell ref="K37:K39"/>
    <mergeCell ref="Q61:Q63"/>
    <mergeCell ref="A202:A204"/>
    <mergeCell ref="A73:A75"/>
    <mergeCell ref="H25:H27"/>
    <mergeCell ref="A187:A189"/>
    <mergeCell ref="P109:P111"/>
    <mergeCell ref="R55:R57"/>
    <mergeCell ref="S145:S147"/>
    <mergeCell ref="P22:P24"/>
    <mergeCell ref="S181:S183"/>
    <mergeCell ref="C139:C141"/>
    <mergeCell ref="E19:E21"/>
    <mergeCell ref="T142:T144"/>
    <mergeCell ref="O16:O18"/>
    <mergeCell ref="H178:H180"/>
    <mergeCell ref="O43:O45"/>
    <mergeCell ref="G85:G87"/>
    <mergeCell ref="D67:D69"/>
    <mergeCell ref="S163:S165"/>
    <mergeCell ref="Q100:Q102"/>
    <mergeCell ref="Q136:Q138"/>
    <mergeCell ref="E37:E39"/>
    <mergeCell ref="K118:K120"/>
    <mergeCell ref="P193:P195"/>
    <mergeCell ref="P34:P36"/>
    <mergeCell ref="S160:S162"/>
    <mergeCell ref="G7:G9"/>
    <mergeCell ref="Q4:Q6"/>
    <mergeCell ref="J166:J168"/>
    <mergeCell ref="L55:L57"/>
    <mergeCell ref="A145:A147"/>
    <mergeCell ref="P61:P63"/>
    <mergeCell ref="P175:P177"/>
    <mergeCell ref="I73:I75"/>
    <mergeCell ref="F28:F30"/>
    <mergeCell ref="F64:F66"/>
    <mergeCell ref="G154:G156"/>
    <mergeCell ref="S88:S90"/>
    <mergeCell ref="E91:E93"/>
    <mergeCell ref="R127:R129"/>
    <mergeCell ref="G25:G27"/>
    <mergeCell ref="O82:O84"/>
    <mergeCell ref="J184:J186"/>
    <mergeCell ref="H121:H123"/>
    <mergeCell ref="F88:F90"/>
    <mergeCell ref="G157:G159"/>
    <mergeCell ref="S115:S117"/>
    <mergeCell ref="N16:N18"/>
    <mergeCell ref="G151:G153"/>
    <mergeCell ref="G178:G180"/>
    <mergeCell ref="Q175:Q177"/>
    <mergeCell ref="Q52:Q54"/>
    <mergeCell ref="N43:N45"/>
    <mergeCell ref="K190:K192"/>
    <mergeCell ref="F85:F87"/>
    <mergeCell ref="C46:C48"/>
    <mergeCell ref="A160:A162"/>
    <mergeCell ref="R163:R165"/>
    <mergeCell ref="M37:M39"/>
    <mergeCell ref="S118:S120"/>
    <mergeCell ref="G79:G81"/>
    <mergeCell ref="Q70:Q72"/>
    <mergeCell ref="E106:E108"/>
    <mergeCell ref="O7:O9"/>
    <mergeCell ref="R166:R168"/>
    <mergeCell ref="P133:P135"/>
    <mergeCell ref="I145:I147"/>
    <mergeCell ref="P4:P6"/>
    <mergeCell ref="I139:I141"/>
    <mergeCell ref="H202:H204"/>
    <mergeCell ref="H73:H75"/>
    <mergeCell ref="E34:E36"/>
    <mergeCell ref="O25:O27"/>
    <mergeCell ref="N88:N90"/>
    <mergeCell ref="G94:G96"/>
    <mergeCell ref="T154:T156"/>
    <mergeCell ref="F157:F159"/>
    <mergeCell ref="D109:D111"/>
    <mergeCell ref="J190:J192"/>
    <mergeCell ref="E64:E66"/>
    <mergeCell ref="Q142:Q144"/>
    <mergeCell ref="G181:G183"/>
    <mergeCell ref="L37:L39"/>
    <mergeCell ref="R118:R120"/>
    <mergeCell ref="I184:I186"/>
    <mergeCell ref="E49:E51"/>
    <mergeCell ref="C16:C18"/>
    <mergeCell ref="N136:N138"/>
    <mergeCell ref="P70:P72"/>
    <mergeCell ref="D112:D114"/>
    <mergeCell ref="D106:D108"/>
    <mergeCell ref="N13:N15"/>
    <mergeCell ref="S55:S57"/>
    <mergeCell ref="H145:H147"/>
    <mergeCell ref="P202:P204"/>
    <mergeCell ref="E100:E102"/>
    <mergeCell ref="F172:F174"/>
    <mergeCell ref="E136:E138"/>
    <mergeCell ref="M193:M195"/>
    <mergeCell ref="T52:T54"/>
    <mergeCell ref="Q13:Q15"/>
    <mergeCell ref="P73:P75"/>
    <mergeCell ref="Q199:Q201"/>
    <mergeCell ref="M64:M66"/>
    <mergeCell ref="N154:N156"/>
    <mergeCell ref="D34:D36"/>
    <mergeCell ref="L91:L93"/>
    <mergeCell ref="G166:G168"/>
    <mergeCell ref="N25:N27"/>
    <mergeCell ref="G160:G162"/>
    <mergeCell ref="Q184:Q186"/>
    <mergeCell ref="M88:M90"/>
    <mergeCell ref="H163:H165"/>
    <mergeCell ref="P124:P126"/>
    <mergeCell ref="F100:F102"/>
    <mergeCell ref="F94:F96"/>
    <mergeCell ref="N151:N153"/>
    <mergeCell ref="E157:E159"/>
    <mergeCell ref="O154:O156"/>
    <mergeCell ref="L109:L111"/>
    <mergeCell ref="R190:R192"/>
    <mergeCell ref="L22:L24"/>
    <mergeCell ref="H160:H162"/>
    <mergeCell ref="O181:O183"/>
    <mergeCell ref="R61:R63"/>
    <mergeCell ref="A19:A21"/>
    <mergeCell ref="P142:P144"/>
    <mergeCell ref="K16:K18"/>
    <mergeCell ref="D178:D180"/>
    <mergeCell ref="N79:N81"/>
    <mergeCell ref="D49:D51"/>
    <mergeCell ref="E175:E177"/>
    <mergeCell ref="C85:C87"/>
    <mergeCell ref="T124:T126"/>
    <mergeCell ref="H88:H90"/>
    <mergeCell ref="M22:M24"/>
    <mergeCell ref="M136:M138"/>
    <mergeCell ref="A37:A39"/>
    <mergeCell ref="G118:G120"/>
    <mergeCell ref="O202:O204"/>
    <mergeCell ref="L193:L195"/>
    <mergeCell ref="L34:L36"/>
    <mergeCell ref="C13:C15"/>
    <mergeCell ref="C7:C9"/>
    <mergeCell ref="M4:M6"/>
    <mergeCell ref="F166:F168"/>
    <mergeCell ref="R79:R81"/>
    <mergeCell ref="N94:N96"/>
    <mergeCell ref="L61:L63"/>
    <mergeCell ref="L175:L177"/>
    <mergeCell ref="E73:E75"/>
    <mergeCell ref="C10:C12"/>
    <mergeCell ref="D136:D138"/>
    <mergeCell ref="F70:F72"/>
    <mergeCell ref="N127:N129"/>
    <mergeCell ref="C25:C27"/>
    <mergeCell ref="K109:K111"/>
    <mergeCell ref="F184:F186"/>
    <mergeCell ref="D7:D9"/>
    <mergeCell ref="Q190:Q192"/>
    <mergeCell ref="D121:D123"/>
    <mergeCell ref="N181:N183"/>
    <mergeCell ref="I55:I57"/>
    <mergeCell ref="J16:J18"/>
    <mergeCell ref="C178:C180"/>
    <mergeCell ref="M175:M177"/>
    <mergeCell ref="J43:J45"/>
    <mergeCell ref="T67:T69"/>
    <mergeCell ref="N163:N165"/>
    <mergeCell ref="O145:O147"/>
    <mergeCell ref="L136:L138"/>
    <mergeCell ref="F118:F120"/>
    <mergeCell ref="C79:C81"/>
    <mergeCell ref="M70:M72"/>
    <mergeCell ref="R31:R33"/>
    <mergeCell ref="N166:N168"/>
    <mergeCell ref="K43:K45"/>
    <mergeCell ref="L133:L135"/>
    <mergeCell ref="L4:L6"/>
    <mergeCell ref="T61:T63"/>
    <mergeCell ref="E166:E168"/>
    <mergeCell ref="O163:O165"/>
    <mergeCell ref="D202:D204"/>
    <mergeCell ref="A34:A36"/>
    <mergeCell ref="D73:D75"/>
    <mergeCell ref="A28:A30"/>
    <mergeCell ref="K25:K27"/>
    <mergeCell ref="A64:A66"/>
    <mergeCell ref="S109:S111"/>
    <mergeCell ref="Q133:Q135"/>
    <mergeCell ref="S22:S24"/>
    <mergeCell ref="M127:M129"/>
    <mergeCell ref="J88:J90"/>
    <mergeCell ref="J82:J84"/>
    <mergeCell ref="C94:C96"/>
    <mergeCell ref="R16:R18"/>
    <mergeCell ref="C121:C123"/>
    <mergeCell ref="A61:A63"/>
    <mergeCell ref="K178:K180"/>
    <mergeCell ref="H55:H57"/>
    <mergeCell ref="T133:T135"/>
    <mergeCell ref="I16:I18"/>
    <mergeCell ref="S40:S42"/>
    <mergeCell ref="F190:F192"/>
    <mergeCell ref="A91:A93"/>
    <mergeCell ref="A85:A87"/>
    <mergeCell ref="K82:K84"/>
    <mergeCell ref="H37:H39"/>
    <mergeCell ref="O58:O60"/>
    <mergeCell ref="N118:N120"/>
    <mergeCell ref="E184:E186"/>
    <mergeCell ref="F10:F12"/>
    <mergeCell ref="C151:C153"/>
    <mergeCell ref="L70:L72"/>
    <mergeCell ref="J13:J15"/>
    <mergeCell ref="T4:T6"/>
    <mergeCell ref="D145:D147"/>
    <mergeCell ref="D139:D141"/>
    <mergeCell ref="S61:S63"/>
    <mergeCell ref="P52:P54"/>
    <mergeCell ref="L73:L75"/>
    <mergeCell ref="I64:I66"/>
    <mergeCell ref="M199:M201"/>
    <mergeCell ref="J25:J27"/>
    <mergeCell ref="R109:R111"/>
    <mergeCell ref="M184:M186"/>
    <mergeCell ref="R22:R24"/>
    <mergeCell ref="K121:K123"/>
    <mergeCell ref="I88:I90"/>
    <mergeCell ref="L124:L126"/>
    <mergeCell ref="E139:E141"/>
    <mergeCell ref="N7:N9"/>
    <mergeCell ref="Q43:Q45"/>
    <mergeCell ref="A157:A159"/>
    <mergeCell ref="K154:K156"/>
    <mergeCell ref="R169:R171"/>
    <mergeCell ref="D160:D162"/>
    <mergeCell ref="K181:K183"/>
    <mergeCell ref="R40:R42"/>
    <mergeCell ref="N61:N63"/>
    <mergeCell ref="L142:L144"/>
    <mergeCell ref="Q103:Q105"/>
    <mergeCell ref="J79:J81"/>
    <mergeCell ref="T70:T72"/>
    <mergeCell ref="D184:D186"/>
    <mergeCell ref="A175:A177"/>
    <mergeCell ref="S133:S135"/>
    <mergeCell ref="E193:E195"/>
    <mergeCell ref="I13:I15"/>
    <mergeCell ref="S4:S6"/>
    <mergeCell ref="L139:L141"/>
    <mergeCell ref="C145:C147"/>
    <mergeCell ref="K202:K204"/>
    <mergeCell ref="A172:A174"/>
    <mergeCell ref="H193:H195"/>
    <mergeCell ref="L13:L15"/>
    <mergeCell ref="H34:H36"/>
    <mergeCell ref="R25:R27"/>
    <mergeCell ref="L199:L201"/>
    <mergeCell ref="H64:H66"/>
    <mergeCell ref="Q88:Q90"/>
    <mergeCell ref="I25:I27"/>
    <mergeCell ref="Q82:Q84"/>
    <mergeCell ref="Q118:Q120"/>
    <mergeCell ref="J94:J96"/>
    <mergeCell ref="H61:H63"/>
    <mergeCell ref="C163:C165"/>
    <mergeCell ref="A100:A102"/>
    <mergeCell ref="I157:I159"/>
    <mergeCell ref="R112:R114"/>
    <mergeCell ref="J154:J156"/>
    <mergeCell ref="G109:G111"/>
    <mergeCell ref="M190:M192"/>
    <mergeCell ref="C160:C162"/>
    <mergeCell ref="J181:J183"/>
    <mergeCell ref="A127:A129"/>
    <mergeCell ref="O37:O39"/>
    <mergeCell ref="E55:E57"/>
    <mergeCell ref="T172:T174"/>
    <mergeCell ref="F16:F18"/>
    <mergeCell ref="I175:I177"/>
    <mergeCell ref="S70:S72"/>
    <mergeCell ref="C184:C186"/>
    <mergeCell ref="P67:P69"/>
    <mergeCell ref="R133:R135"/>
    <mergeCell ref="H109:H111"/>
    <mergeCell ref="K145:K147"/>
    <mergeCell ref="H22:H24"/>
    <mergeCell ref="A115:A117"/>
    <mergeCell ref="H136:H138"/>
    <mergeCell ref="T199:T201"/>
    <mergeCell ref="N31:N33"/>
    <mergeCell ref="G43:G45"/>
    <mergeCell ref="Q25:Q27"/>
    <mergeCell ref="H4:H6"/>
    <mergeCell ref="A166:A168"/>
    <mergeCell ref="P88:P90"/>
    <mergeCell ref="K163:K165"/>
    <mergeCell ref="M79:M81"/>
    <mergeCell ref="H157:H159"/>
    <mergeCell ref="O109:O111"/>
    <mergeCell ref="O22:O24"/>
    <mergeCell ref="R181:R183"/>
    <mergeCell ref="I127:I129"/>
    <mergeCell ref="R52:R54"/>
    <mergeCell ref="S142:S144"/>
    <mergeCell ref="P19:P21"/>
    <mergeCell ref="D55:D57"/>
    <mergeCell ref="S178:S180"/>
    <mergeCell ref="S172:S174"/>
    <mergeCell ref="E16:E18"/>
    <mergeCell ref="H175:H177"/>
    <mergeCell ref="G82:G84"/>
    <mergeCell ref="S199:S201"/>
    <mergeCell ref="P154:P156"/>
    <mergeCell ref="F130:F132"/>
    <mergeCell ref="F13:F15"/>
    <mergeCell ref="I166:I168"/>
    <mergeCell ref="F43:F45"/>
    <mergeCell ref="G133:G135"/>
    <mergeCell ref="O67:O69"/>
    <mergeCell ref="G4:G6"/>
    <mergeCell ref="O61:O63"/>
    <mergeCell ref="J163:J165"/>
    <mergeCell ref="L52:L54"/>
    <mergeCell ref="A142:A144"/>
    <mergeCell ref="I199:I201"/>
    <mergeCell ref="G136:G138"/>
    <mergeCell ref="I70:I72"/>
    <mergeCell ref="Q127:Q129"/>
    <mergeCell ref="F25:F27"/>
    <mergeCell ref="N109:N111"/>
    <mergeCell ref="N22:N24"/>
    <mergeCell ref="Q181:Q183"/>
    <mergeCell ref="H127:H129"/>
    <mergeCell ref="E88:E90"/>
    <mergeCell ref="A139:A141"/>
    <mergeCell ref="M16:M18"/>
    <mergeCell ref="R142:R144"/>
    <mergeCell ref="C55:C57"/>
    <mergeCell ref="E85:E87"/>
    <mergeCell ref="Q163:Q165"/>
    <mergeCell ref="N40:N42"/>
    <mergeCell ref="A190:A192"/>
    <mergeCell ref="F82:F84"/>
    <mergeCell ref="M103:M105"/>
    <mergeCell ref="C37:C39"/>
    <mergeCell ref="R172:R174"/>
    <mergeCell ref="A193:A195"/>
    <mergeCell ref="E13:E15"/>
    <mergeCell ref="O4:O6"/>
    <mergeCell ref="D37:D39"/>
    <mergeCell ref="K58:K60"/>
    <mergeCell ref="G73:G75"/>
    <mergeCell ref="H199:H201"/>
    <mergeCell ref="D64:D66"/>
    <mergeCell ref="F136:F138"/>
    <mergeCell ref="P127:P129"/>
    <mergeCell ref="E25:E27"/>
    <mergeCell ref="O91:O93"/>
    <mergeCell ref="H184:H186"/>
    <mergeCell ref="M118:M120"/>
    <mergeCell ref="K55:K57"/>
    <mergeCell ref="D88:D90"/>
    <mergeCell ref="Q121:Q123"/>
    <mergeCell ref="L16:L18"/>
    <mergeCell ref="Q151:Q153"/>
    <mergeCell ref="O175:O177"/>
    <mergeCell ref="E28:E30"/>
    <mergeCell ref="L43:L45"/>
    <mergeCell ref="F154:F156"/>
    <mergeCell ref="C109:C111"/>
    <mergeCell ref="I190:I192"/>
    <mergeCell ref="A46:A48"/>
    <mergeCell ref="M46:M48"/>
    <mergeCell ref="L163:L165"/>
    <mergeCell ref="L76:L78"/>
    <mergeCell ref="R115:R117"/>
    <mergeCell ref="O70:O72"/>
    <mergeCell ref="T31:T33"/>
    <mergeCell ref="L67:L69"/>
    <mergeCell ref="O106:O108"/>
    <mergeCell ref="M43:M45"/>
    <mergeCell ref="N133:N135"/>
    <mergeCell ref="K124:K126"/>
    <mergeCell ref="G145:G147"/>
    <mergeCell ref="D22:D24"/>
    <mergeCell ref="N4:N6"/>
    <mergeCell ref="S58:S60"/>
    <mergeCell ref="S52:S54"/>
    <mergeCell ref="F202:F204"/>
    <mergeCell ref="H142:H144"/>
    <mergeCell ref="P199:P201"/>
    <mergeCell ref="C193:C195"/>
    <mergeCell ref="F79:F81"/>
    <mergeCell ref="M25:M27"/>
    <mergeCell ref="G199:G201"/>
    <mergeCell ref="M61:M63"/>
    <mergeCell ref="D4:D6"/>
    <mergeCell ref="O127:O129"/>
    <mergeCell ref="L88:L90"/>
    <mergeCell ref="G163:G165"/>
    <mergeCell ref="H139:H141"/>
    <mergeCell ref="D157:D159"/>
    <mergeCell ref="E127:E129"/>
    <mergeCell ref="C64:C66"/>
    <mergeCell ref="R187:R189"/>
    <mergeCell ref="E181:E183"/>
    <mergeCell ref="T103:T105"/>
    <mergeCell ref="J37:J39"/>
    <mergeCell ref="G184:G186"/>
    <mergeCell ref="A16:A18"/>
    <mergeCell ref="D175:D177"/>
    <mergeCell ref="S10:S12"/>
    <mergeCell ref="K67:K69"/>
    <mergeCell ref="S124:S126"/>
    <mergeCell ref="C82:C84"/>
    <mergeCell ref="C136:C138"/>
    <mergeCell ref="R58:R60"/>
    <mergeCell ref="O199:O201"/>
    <mergeCell ref="L154:L156"/>
    <mergeCell ref="L190:L192"/>
    <mergeCell ref="T118:T120"/>
    <mergeCell ref="C4:C6"/>
    <mergeCell ref="K88:K90"/>
    <mergeCell ref="F163:F165"/>
    <mergeCell ref="H52:H54"/>
    <mergeCell ref="H79:H81"/>
    <mergeCell ref="P13:P15"/>
    <mergeCell ref="E70:E72"/>
    <mergeCell ref="M154:M156"/>
    <mergeCell ref="J109:J111"/>
    <mergeCell ref="J22:J24"/>
    <mergeCell ref="T19:T21"/>
    <mergeCell ref="T46:T48"/>
    <mergeCell ref="M181:M183"/>
    <mergeCell ref="D127:D129"/>
    <mergeCell ref="Q187:Q189"/>
    <mergeCell ref="K19:K21"/>
    <mergeCell ref="N142:N144"/>
    <mergeCell ref="S76:S78"/>
    <mergeCell ref="S67:S69"/>
    <mergeCell ref="C175:C177"/>
    <mergeCell ref="M49:M51"/>
    <mergeCell ref="R10:R12"/>
    <mergeCell ref="R124:R126"/>
    <mergeCell ref="K22:K24"/>
    <mergeCell ref="I103:I105"/>
    <mergeCell ref="E118:E120"/>
    <mergeCell ref="O142:O144"/>
    <mergeCell ref="T76:T78"/>
    <mergeCell ref="Q31:Q33"/>
    <mergeCell ref="T190:T192"/>
    <mergeCell ref="N172:N174"/>
    <mergeCell ref="N199:N201"/>
    <mergeCell ref="A130:A132"/>
    <mergeCell ref="A13:A15"/>
    <mergeCell ref="K4:K6"/>
    <mergeCell ref="A43:A45"/>
    <mergeCell ref="J67:J69"/>
    <mergeCell ref="J61:J63"/>
    <mergeCell ref="J97:J99"/>
    <mergeCell ref="C73:C75"/>
    <mergeCell ref="D199:D201"/>
    <mergeCell ref="T112:T114"/>
    <mergeCell ref="D70:D72"/>
    <mergeCell ref="L127:L129"/>
    <mergeCell ref="I118:I120"/>
    <mergeCell ref="S19:S21"/>
    <mergeCell ref="G55:G57"/>
    <mergeCell ref="L181:L183"/>
    <mergeCell ref="K61:K63"/>
    <mergeCell ref="H16:H18"/>
    <mergeCell ref="K175:K177"/>
    <mergeCell ref="I142:I144"/>
    <mergeCell ref="R67:R69"/>
    <mergeCell ref="I46:I48"/>
    <mergeCell ref="A88:A90"/>
    <mergeCell ref="A82:A84"/>
    <mergeCell ref="N115:N117"/>
    <mergeCell ref="P31:P33"/>
    <mergeCell ref="K106:K108"/>
    <mergeCell ref="S190:S192"/>
    <mergeCell ref="I43:I45"/>
    <mergeCell ref="M172:M174"/>
    <mergeCell ref="G124:G126"/>
    <mergeCell ref="J4:J6"/>
    <mergeCell ref="M163:M165"/>
    <mergeCell ref="R97:R99"/>
    <mergeCell ref="O52:O54"/>
    <mergeCell ref="D142:D144"/>
    <mergeCell ref="F58:F60"/>
    <mergeCell ref="S91:S93"/>
    <mergeCell ref="S85:S87"/>
    <mergeCell ref="C199:C201"/>
    <mergeCell ref="I61:I63"/>
    <mergeCell ref="K133:K135"/>
    <mergeCell ref="K127:K129"/>
    <mergeCell ref="R148:R150"/>
    <mergeCell ref="H118:H120"/>
    <mergeCell ref="R19:R21"/>
    <mergeCell ref="F55:F57"/>
    <mergeCell ref="C202:C204"/>
    <mergeCell ref="L121:L123"/>
    <mergeCell ref="L157:L159"/>
    <mergeCell ref="J175:J177"/>
    <mergeCell ref="D13:D15"/>
    <mergeCell ref="T85:T87"/>
    <mergeCell ref="Q40:Q42"/>
    <mergeCell ref="A154:A156"/>
    <mergeCell ref="C43:C45"/>
    <mergeCell ref="N187:N189"/>
    <mergeCell ref="S148:S150"/>
    <mergeCell ref="I82:I84"/>
    <mergeCell ref="P103:P105"/>
    <mergeCell ref="F37:F39"/>
    <mergeCell ref="M115:M117"/>
    <mergeCell ref="T136:T138"/>
    <mergeCell ref="O10:O12"/>
    <mergeCell ref="J112:J114"/>
    <mergeCell ref="R4:R6"/>
    <mergeCell ref="H43:H45"/>
    <mergeCell ref="S130:S132"/>
    <mergeCell ref="E190:E192"/>
    <mergeCell ref="Q67:Q69"/>
    <mergeCell ref="G37:G39"/>
    <mergeCell ref="Q97:Q99"/>
    <mergeCell ref="N58:N60"/>
    <mergeCell ref="L172:L174"/>
    <mergeCell ref="N52:N54"/>
    <mergeCell ref="C142:C144"/>
    <mergeCell ref="K199:K201"/>
    <mergeCell ref="E31:E3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description/>
  <dc:subject/>
  <dcterms:created xsi:type="dcterms:W3CDTF">2021-07-19T00:00:00Z</dcterms:created>
  <dcterms:modified xsi:type="dcterms:W3CDTF">2021-07-19T00:00:00Z</dcterms:modified>
  <cp:lastModifiedBy/>
  <cp:keywords/>
  <cp:category/>
  <cp:contentStatus/>
</cp:coreProperties>
</file>